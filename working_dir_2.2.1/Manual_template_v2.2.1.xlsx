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denuyl/Documents/qPCR/qPCR_automated_analysis/Phytoxigene_automated_analysis/working_dir_2.1.1/"/>
    </mc:Choice>
  </mc:AlternateContent>
  <xr:revisionPtr revIDLastSave="0" documentId="13_ncr:1_{3737F09F-BB47-CC4E-BFC2-FE800B873D7A}" xr6:coauthVersionLast="47" xr6:coauthVersionMax="47" xr10:uidLastSave="{00000000-0000-0000-0000-000000000000}"/>
  <bookViews>
    <workbookView xWindow="0" yWindow="760" windowWidth="21600" windowHeight="17420" firstSheet="1" activeTab="8" xr2:uid="{8166C7DF-D327-1849-B194-19F5A7BF8308}"/>
  </bookViews>
  <sheets>
    <sheet name="Standard Curve" sheetId="1" r:id="rId1"/>
    <sheet name="Outlier Check" sheetId="3" r:id="rId2"/>
    <sheet name="NTC" sheetId="7" r:id="rId3"/>
    <sheet name="Negative Controls" sheetId="12" r:id="rId4"/>
    <sheet name="Sample Metadata" sheetId="9" r:id="rId5"/>
    <sheet name="qPCR Run Entry" sheetId="10" r:id="rId6"/>
    <sheet name="IAC" sheetId="13" r:id="rId7"/>
    <sheet name="Sample Calculation" sheetId="11" r:id="rId8"/>
    <sheet name="Results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85" i="11" l="1"/>
  <c r="P85" i="11"/>
  <c r="Q83" i="11"/>
  <c r="P83" i="11"/>
  <c r="Q81" i="11"/>
  <c r="P81" i="11"/>
  <c r="Q79" i="11"/>
  <c r="P79" i="11"/>
  <c r="Q77" i="11"/>
  <c r="P77" i="11"/>
  <c r="Q75" i="11"/>
  <c r="P75" i="11"/>
  <c r="Q73" i="11"/>
  <c r="P73" i="11"/>
  <c r="Q71" i="11"/>
  <c r="P71" i="11"/>
  <c r="Q69" i="11"/>
  <c r="P69" i="11"/>
  <c r="Q67" i="11"/>
  <c r="P67" i="11"/>
  <c r="Q65" i="11"/>
  <c r="P65" i="11"/>
  <c r="Q63" i="11"/>
  <c r="P63" i="11"/>
  <c r="Q61" i="11"/>
  <c r="P61" i="11"/>
  <c r="Q59" i="11"/>
  <c r="P59" i="11"/>
  <c r="Q57" i="11"/>
  <c r="P57" i="11"/>
  <c r="Q55" i="11"/>
  <c r="L2" i="8" s="1"/>
  <c r="P55" i="11"/>
  <c r="Q53" i="11"/>
  <c r="P53" i="11"/>
  <c r="Q51" i="11"/>
  <c r="P51" i="11"/>
  <c r="Q49" i="11"/>
  <c r="P49" i="11"/>
  <c r="Q47" i="11"/>
  <c r="P47" i="11"/>
  <c r="Q45" i="11"/>
  <c r="P45" i="11"/>
  <c r="Q43" i="11"/>
  <c r="P43" i="11"/>
  <c r="Q41" i="11"/>
  <c r="P41" i="11"/>
  <c r="Q39" i="11"/>
  <c r="P39" i="11"/>
  <c r="Q37" i="11"/>
  <c r="P37" i="11"/>
  <c r="Q35" i="11"/>
  <c r="P35" i="11"/>
  <c r="Q33" i="11"/>
  <c r="P33" i="11"/>
  <c r="Q31" i="11"/>
  <c r="P31" i="11"/>
  <c r="Q29" i="11"/>
  <c r="P29" i="11"/>
  <c r="Q27" i="11"/>
  <c r="P27" i="11"/>
  <c r="Q25" i="11"/>
  <c r="P25" i="11"/>
  <c r="Q23" i="11"/>
  <c r="P23" i="11"/>
  <c r="Q21" i="11"/>
  <c r="P21" i="11"/>
  <c r="Q19" i="11"/>
  <c r="P19" i="11"/>
  <c r="Q17" i="11"/>
  <c r="P17" i="11"/>
  <c r="Q15" i="11"/>
  <c r="P15" i="11"/>
  <c r="Q13" i="11"/>
  <c r="P13" i="11"/>
  <c r="Q11" i="11"/>
  <c r="P11" i="11"/>
  <c r="Q9" i="11"/>
  <c r="P9" i="11"/>
  <c r="Q7" i="11"/>
  <c r="P7" i="11"/>
  <c r="Q5" i="11"/>
  <c r="P5" i="11"/>
  <c r="Q3" i="11"/>
  <c r="H3" i="11"/>
  <c r="H4" i="11"/>
  <c r="N7" i="11"/>
  <c r="N5" i="11"/>
  <c r="N9" i="11"/>
  <c r="N11" i="11"/>
  <c r="N13" i="11"/>
  <c r="N15" i="11"/>
  <c r="N17" i="11"/>
  <c r="N19" i="11"/>
  <c r="N21" i="11"/>
  <c r="N23" i="11"/>
  <c r="N25" i="11"/>
  <c r="N27" i="11"/>
  <c r="N29" i="11"/>
  <c r="N31" i="11"/>
  <c r="N33" i="11"/>
  <c r="N35" i="11"/>
  <c r="N37" i="11"/>
  <c r="N39" i="11"/>
  <c r="N41" i="11"/>
  <c r="N43" i="11"/>
  <c r="N45" i="11"/>
  <c r="N47" i="11"/>
  <c r="N49" i="11"/>
  <c r="N51" i="11"/>
  <c r="N53" i="11"/>
  <c r="N55" i="11"/>
  <c r="N57" i="11"/>
  <c r="N59" i="11"/>
  <c r="N61" i="11"/>
  <c r="N63" i="11"/>
  <c r="N65" i="11"/>
  <c r="N67" i="11"/>
  <c r="N69" i="11"/>
  <c r="N71" i="11"/>
  <c r="N73" i="11"/>
  <c r="N75" i="11"/>
  <c r="N77" i="11"/>
  <c r="N79" i="11"/>
  <c r="N81" i="11"/>
  <c r="N83" i="11"/>
  <c r="N85" i="11"/>
  <c r="L2" i="3"/>
  <c r="O3" i="11"/>
  <c r="O85" i="11"/>
  <c r="O83" i="11"/>
  <c r="O81" i="11"/>
  <c r="O79" i="11"/>
  <c r="O77" i="11"/>
  <c r="O75" i="11"/>
  <c r="O73" i="11"/>
  <c r="O71" i="11"/>
  <c r="O69" i="11"/>
  <c r="O67" i="11"/>
  <c r="O65" i="11"/>
  <c r="O63" i="11"/>
  <c r="O61" i="11"/>
  <c r="O59" i="11"/>
  <c r="O57" i="11"/>
  <c r="O55" i="11"/>
  <c r="O53" i="11"/>
  <c r="O51" i="11"/>
  <c r="O49" i="11"/>
  <c r="O47" i="11"/>
  <c r="O45" i="11"/>
  <c r="O43" i="11"/>
  <c r="O41" i="11"/>
  <c r="O39" i="11"/>
  <c r="O37" i="11"/>
  <c r="O35" i="11"/>
  <c r="O33" i="11"/>
  <c r="O31" i="11"/>
  <c r="O29" i="11"/>
  <c r="O27" i="11"/>
  <c r="O25" i="11"/>
  <c r="O23" i="11"/>
  <c r="O21" i="11"/>
  <c r="O19" i="11"/>
  <c r="O17" i="11"/>
  <c r="O15" i="11"/>
  <c r="O13" i="11"/>
  <c r="O11" i="11"/>
  <c r="O9" i="11"/>
  <c r="O7" i="11"/>
  <c r="O5" i="11"/>
  <c r="B3" i="11"/>
  <c r="K50" i="8"/>
  <c r="J50" i="8"/>
  <c r="K3" i="11" l="1"/>
  <c r="P3" i="11"/>
  <c r="K2" i="8" s="1"/>
  <c r="J2" i="8"/>
  <c r="G9" i="8"/>
  <c r="D18" i="1"/>
  <c r="B6" i="8" s="1"/>
  <c r="D17" i="1"/>
  <c r="E6" i="8" s="1"/>
  <c r="F9" i="8" a="1"/>
  <c r="F9" i="8" s="1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0" i="13"/>
  <c r="AO51" i="13"/>
  <c r="AO52" i="13"/>
  <c r="AO53" i="13"/>
  <c r="AO54" i="13"/>
  <c r="AO55" i="13"/>
  <c r="AO56" i="13"/>
  <c r="AO57" i="13"/>
  <c r="AO58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102" i="13"/>
  <c r="AO103" i="13"/>
  <c r="AO104" i="13"/>
  <c r="AO105" i="13"/>
  <c r="AO106" i="13"/>
  <c r="AO107" i="13"/>
  <c r="AO108" i="13"/>
  <c r="AO109" i="13"/>
  <c r="AO110" i="13"/>
  <c r="AO111" i="13"/>
  <c r="AO112" i="13"/>
  <c r="AO113" i="13"/>
  <c r="AO114" i="13"/>
  <c r="AO115" i="13"/>
  <c r="AO116" i="13"/>
  <c r="AO117" i="13"/>
  <c r="AO118" i="13"/>
  <c r="AO119" i="13"/>
  <c r="AO120" i="13"/>
  <c r="AO121" i="13"/>
  <c r="AO122" i="13"/>
  <c r="AO123" i="13"/>
  <c r="AO124" i="13"/>
  <c r="AO125" i="13"/>
  <c r="AO126" i="13"/>
  <c r="AO127" i="13"/>
  <c r="AO128" i="13"/>
  <c r="AO129" i="13"/>
  <c r="AO130" i="13"/>
  <c r="AO131" i="13"/>
  <c r="AO132" i="13"/>
  <c r="AO133" i="13"/>
  <c r="AO134" i="13"/>
  <c r="AO135" i="13"/>
  <c r="AO136" i="13"/>
  <c r="AO137" i="13"/>
  <c r="AO138" i="13"/>
  <c r="AO139" i="13"/>
  <c r="AO140" i="13"/>
  <c r="AO141" i="13"/>
  <c r="AO142" i="13"/>
  <c r="AO143" i="13"/>
  <c r="AO144" i="13"/>
  <c r="AO145" i="13"/>
  <c r="AO146" i="13"/>
  <c r="AO147" i="13"/>
  <c r="AO148" i="13"/>
  <c r="AO149" i="13"/>
  <c r="AO150" i="13"/>
  <c r="AO151" i="13"/>
  <c r="AO152" i="13"/>
  <c r="AO153" i="13"/>
  <c r="AO154" i="13"/>
  <c r="AO155" i="13"/>
  <c r="AO156" i="13"/>
  <c r="AO157" i="13"/>
  <c r="AO158" i="13"/>
  <c r="AO159" i="13"/>
  <c r="AO160" i="13"/>
  <c r="AO161" i="13"/>
  <c r="AO162" i="13"/>
  <c r="AO163" i="13"/>
  <c r="AO164" i="13"/>
  <c r="AO165" i="13"/>
  <c r="AO166" i="13"/>
  <c r="AO167" i="13"/>
  <c r="AO168" i="13"/>
  <c r="AO169" i="13"/>
  <c r="AO170" i="13"/>
  <c r="AO171" i="13"/>
  <c r="AO172" i="13"/>
  <c r="AO173" i="13"/>
  <c r="AO174" i="13"/>
  <c r="AO175" i="13"/>
  <c r="AO176" i="13"/>
  <c r="AO177" i="13"/>
  <c r="AO178" i="13"/>
  <c r="AO179" i="13"/>
  <c r="AO180" i="13"/>
  <c r="AO181" i="13"/>
  <c r="AO182" i="13"/>
  <c r="AO183" i="13"/>
  <c r="AO184" i="13"/>
  <c r="AO185" i="13"/>
  <c r="AO186" i="13"/>
  <c r="AO187" i="13"/>
  <c r="AO188" i="13"/>
  <c r="AO189" i="13"/>
  <c r="AO190" i="13"/>
  <c r="AO191" i="13"/>
  <c r="AO192" i="13"/>
  <c r="AO193" i="13"/>
  <c r="AO194" i="13"/>
  <c r="AO195" i="13"/>
  <c r="AO196" i="13"/>
  <c r="AO197" i="13"/>
  <c r="AO198" i="13"/>
  <c r="AO199" i="13"/>
  <c r="AO200" i="13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65" i="13"/>
  <c r="AA66" i="13"/>
  <c r="AA67" i="13"/>
  <c r="AA68" i="13"/>
  <c r="AA69" i="13"/>
  <c r="AA70" i="13"/>
  <c r="AA71" i="13"/>
  <c r="AA72" i="13"/>
  <c r="AA73" i="13"/>
  <c r="AA74" i="13"/>
  <c r="AA75" i="13"/>
  <c r="AA76" i="13"/>
  <c r="AA77" i="13"/>
  <c r="AA78" i="13"/>
  <c r="AA79" i="13"/>
  <c r="AA80" i="13"/>
  <c r="AA81" i="13"/>
  <c r="AA82" i="13"/>
  <c r="AA83" i="13"/>
  <c r="AA84" i="13"/>
  <c r="AA85" i="13"/>
  <c r="AA86" i="13"/>
  <c r="AA87" i="13"/>
  <c r="AA88" i="13"/>
  <c r="AA89" i="13"/>
  <c r="AA90" i="13"/>
  <c r="AA91" i="13"/>
  <c r="AA92" i="13"/>
  <c r="AA93" i="13"/>
  <c r="AA94" i="13"/>
  <c r="AA95" i="13"/>
  <c r="AA96" i="13"/>
  <c r="AA97" i="13"/>
  <c r="AA98" i="13"/>
  <c r="AA99" i="13"/>
  <c r="AA100" i="13"/>
  <c r="AA101" i="13"/>
  <c r="AA102" i="13"/>
  <c r="AA103" i="13"/>
  <c r="AA104" i="13"/>
  <c r="AA105" i="13"/>
  <c r="AA106" i="13"/>
  <c r="AA107" i="13"/>
  <c r="AA108" i="13"/>
  <c r="AA109" i="13"/>
  <c r="AA110" i="13"/>
  <c r="AA111" i="13"/>
  <c r="AA112" i="13"/>
  <c r="AA113" i="13"/>
  <c r="AA114" i="13"/>
  <c r="AA115" i="13"/>
  <c r="AA116" i="13"/>
  <c r="AA117" i="13"/>
  <c r="AA118" i="13"/>
  <c r="AA119" i="13"/>
  <c r="AA120" i="13"/>
  <c r="AA121" i="13"/>
  <c r="AA122" i="13"/>
  <c r="AA123" i="13"/>
  <c r="AA124" i="13"/>
  <c r="AA125" i="13"/>
  <c r="AA126" i="13"/>
  <c r="AA127" i="13"/>
  <c r="AA128" i="13"/>
  <c r="AA129" i="13"/>
  <c r="AA130" i="13"/>
  <c r="AA131" i="13"/>
  <c r="AA132" i="13"/>
  <c r="AA133" i="13"/>
  <c r="AA134" i="13"/>
  <c r="AA135" i="13"/>
  <c r="AA136" i="13"/>
  <c r="AA137" i="13"/>
  <c r="AA138" i="13"/>
  <c r="AA139" i="13"/>
  <c r="AA140" i="13"/>
  <c r="AA141" i="13"/>
  <c r="AA142" i="13"/>
  <c r="AA143" i="13"/>
  <c r="AA144" i="13"/>
  <c r="AA145" i="13"/>
  <c r="AA146" i="13"/>
  <c r="AA147" i="13"/>
  <c r="AA148" i="13"/>
  <c r="AA149" i="13"/>
  <c r="AA150" i="13"/>
  <c r="AA151" i="13"/>
  <c r="AA152" i="13"/>
  <c r="AA153" i="13"/>
  <c r="AA154" i="13"/>
  <c r="AA155" i="13"/>
  <c r="AA156" i="13"/>
  <c r="AA157" i="13"/>
  <c r="AA158" i="13"/>
  <c r="AA159" i="13"/>
  <c r="AA160" i="13"/>
  <c r="AA161" i="13"/>
  <c r="AA162" i="13"/>
  <c r="AA163" i="13"/>
  <c r="AA164" i="13"/>
  <c r="AA165" i="13"/>
  <c r="AA166" i="13"/>
  <c r="AA167" i="13"/>
  <c r="AA168" i="13"/>
  <c r="AA169" i="13"/>
  <c r="AA170" i="13"/>
  <c r="AA171" i="13"/>
  <c r="AA172" i="13"/>
  <c r="AA173" i="13"/>
  <c r="AA174" i="13"/>
  <c r="AA175" i="13"/>
  <c r="AA176" i="13"/>
  <c r="AA177" i="13"/>
  <c r="AA178" i="13"/>
  <c r="AA179" i="13"/>
  <c r="AA180" i="13"/>
  <c r="AA181" i="13"/>
  <c r="AA182" i="13"/>
  <c r="AA183" i="13"/>
  <c r="AA184" i="13"/>
  <c r="AA185" i="13"/>
  <c r="AA186" i="13"/>
  <c r="AA187" i="13"/>
  <c r="AA188" i="13"/>
  <c r="AA189" i="13"/>
  <c r="AA190" i="13"/>
  <c r="AA191" i="13"/>
  <c r="AA192" i="13"/>
  <c r="AA193" i="13"/>
  <c r="AA194" i="13"/>
  <c r="AA195" i="13"/>
  <c r="AA196" i="13"/>
  <c r="AA197" i="13"/>
  <c r="AA198" i="13"/>
  <c r="AA199" i="13"/>
  <c r="AA200" i="13"/>
  <c r="AA4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4" i="13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2" i="12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2" i="7"/>
  <c r="AN4" i="13"/>
  <c r="AO4" i="13" s="1"/>
  <c r="AN87" i="13"/>
  <c r="AN86" i="13"/>
  <c r="AN85" i="13"/>
  <c r="AN84" i="13"/>
  <c r="AN83" i="13"/>
  <c r="AN82" i="13"/>
  <c r="AN81" i="13"/>
  <c r="AN80" i="13"/>
  <c r="AN79" i="13"/>
  <c r="AN78" i="13"/>
  <c r="AN77" i="13"/>
  <c r="AN76" i="13"/>
  <c r="AN75" i="13"/>
  <c r="AN74" i="13"/>
  <c r="AN73" i="13"/>
  <c r="AN72" i="13"/>
  <c r="AN71" i="13"/>
  <c r="AN70" i="13"/>
  <c r="AN69" i="13"/>
  <c r="AN68" i="13"/>
  <c r="AN67" i="13"/>
  <c r="AN66" i="13"/>
  <c r="AN65" i="13"/>
  <c r="AN64" i="13"/>
  <c r="AN63" i="13"/>
  <c r="AN62" i="13"/>
  <c r="AN61" i="13"/>
  <c r="AN60" i="13"/>
  <c r="AN59" i="13"/>
  <c r="AN58" i="13"/>
  <c r="AN57" i="13"/>
  <c r="AN56" i="13"/>
  <c r="AN55" i="13"/>
  <c r="AN54" i="13"/>
  <c r="AN53" i="13"/>
  <c r="AN52" i="13"/>
  <c r="AN51" i="13"/>
  <c r="AN50" i="13"/>
  <c r="AN49" i="13"/>
  <c r="AN48" i="13"/>
  <c r="AN47" i="13"/>
  <c r="AN46" i="13"/>
  <c r="AN45" i="13"/>
  <c r="AN44" i="13"/>
  <c r="AN43" i="13"/>
  <c r="AN42" i="13"/>
  <c r="AN41" i="13"/>
  <c r="AN40" i="13"/>
  <c r="AN39" i="13"/>
  <c r="AN38" i="13"/>
  <c r="AN37" i="13"/>
  <c r="AN36" i="13"/>
  <c r="AN35" i="13"/>
  <c r="AN34" i="13"/>
  <c r="AN33" i="13"/>
  <c r="AN32" i="13"/>
  <c r="AN31" i="13"/>
  <c r="AN30" i="13"/>
  <c r="AN29" i="13"/>
  <c r="AN28" i="13"/>
  <c r="AN27" i="13"/>
  <c r="AN26" i="13"/>
  <c r="AN25" i="13"/>
  <c r="AN24" i="13"/>
  <c r="AN23" i="13"/>
  <c r="AN22" i="13"/>
  <c r="AN21" i="13"/>
  <c r="AN20" i="13"/>
  <c r="AN19" i="13"/>
  <c r="AN18" i="13"/>
  <c r="AN17" i="13"/>
  <c r="AN16" i="13"/>
  <c r="AN15" i="13"/>
  <c r="AN14" i="13"/>
  <c r="AN13" i="13"/>
  <c r="AN12" i="13"/>
  <c r="AN11" i="13"/>
  <c r="AN10" i="13"/>
  <c r="AN9" i="13"/>
  <c r="AN8" i="13"/>
  <c r="AN7" i="13"/>
  <c r="AN6" i="13"/>
  <c r="AN5" i="13"/>
  <c r="Z4" i="13"/>
  <c r="Z87" i="13"/>
  <c r="Z86" i="13"/>
  <c r="Z85" i="13"/>
  <c r="Z84" i="13"/>
  <c r="Z83" i="13"/>
  <c r="Z82" i="13"/>
  <c r="Z81" i="13"/>
  <c r="Z80" i="13"/>
  <c r="Z79" i="13"/>
  <c r="Z78" i="13"/>
  <c r="Z77" i="13"/>
  <c r="Z76" i="13"/>
  <c r="Z75" i="13"/>
  <c r="Z74" i="13"/>
  <c r="Z73" i="13"/>
  <c r="Z72" i="13"/>
  <c r="Z71" i="13"/>
  <c r="Z70" i="13"/>
  <c r="Z69" i="13"/>
  <c r="Z68" i="13"/>
  <c r="Z67" i="13"/>
  <c r="Z66" i="13"/>
  <c r="Z65" i="13"/>
  <c r="Z64" i="13"/>
  <c r="Z63" i="13"/>
  <c r="Z62" i="13"/>
  <c r="Z61" i="13"/>
  <c r="Z60" i="13"/>
  <c r="Z59" i="13"/>
  <c r="Z58" i="13"/>
  <c r="Z57" i="13"/>
  <c r="Z56" i="13"/>
  <c r="Z55" i="13"/>
  <c r="Z54" i="13"/>
  <c r="Z53" i="13"/>
  <c r="Z52" i="13"/>
  <c r="Z51" i="13"/>
  <c r="Z50" i="13"/>
  <c r="Z49" i="13"/>
  <c r="Z48" i="13"/>
  <c r="Z47" i="13"/>
  <c r="Z46" i="13"/>
  <c r="Z45" i="13"/>
  <c r="Z44" i="13"/>
  <c r="Z43" i="13"/>
  <c r="Z42" i="13"/>
  <c r="Z41" i="13"/>
  <c r="Z40" i="13"/>
  <c r="Z39" i="13"/>
  <c r="Z38" i="13"/>
  <c r="Z37" i="13"/>
  <c r="Z36" i="13"/>
  <c r="Z35" i="13"/>
  <c r="Z34" i="13"/>
  <c r="Z33" i="13"/>
  <c r="Z32" i="13"/>
  <c r="Z31" i="13"/>
  <c r="Z30" i="13"/>
  <c r="Z29" i="13"/>
  <c r="Z28" i="13"/>
  <c r="Z27" i="13"/>
  <c r="Z26" i="13"/>
  <c r="Z25" i="13"/>
  <c r="Z24" i="13"/>
  <c r="Z23" i="13"/>
  <c r="Z22" i="13"/>
  <c r="Z21" i="13"/>
  <c r="Z20" i="13"/>
  <c r="Z19" i="13"/>
  <c r="Z18" i="13"/>
  <c r="Z17" i="13"/>
  <c r="Z16" i="13"/>
  <c r="Z15" i="13"/>
  <c r="Z14" i="13"/>
  <c r="Z13" i="13"/>
  <c r="Z12" i="13"/>
  <c r="Z11" i="13"/>
  <c r="Z10" i="13"/>
  <c r="Z9" i="13"/>
  <c r="Z8" i="13"/>
  <c r="Z7" i="13"/>
  <c r="Z6" i="13"/>
  <c r="Z5" i="13"/>
  <c r="L6" i="13"/>
  <c r="L7" i="13"/>
  <c r="L5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4" i="13"/>
  <c r="X4" i="13"/>
  <c r="X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65" i="13"/>
  <c r="X66" i="13"/>
  <c r="X67" i="13"/>
  <c r="X68" i="13"/>
  <c r="X69" i="13"/>
  <c r="X70" i="13"/>
  <c r="X71" i="13"/>
  <c r="X72" i="13"/>
  <c r="X73" i="13"/>
  <c r="X74" i="13"/>
  <c r="X75" i="13"/>
  <c r="X76" i="13"/>
  <c r="X77" i="13"/>
  <c r="X78" i="13"/>
  <c r="X79" i="13"/>
  <c r="X80" i="13"/>
  <c r="X81" i="13"/>
  <c r="X82" i="13"/>
  <c r="X83" i="13"/>
  <c r="X84" i="13"/>
  <c r="X85" i="13"/>
  <c r="X86" i="13"/>
  <c r="X87" i="13"/>
  <c r="J4" i="13"/>
  <c r="AL87" i="13"/>
  <c r="AE87" i="13"/>
  <c r="AD87" i="13"/>
  <c r="AL86" i="13"/>
  <c r="AF86" i="13"/>
  <c r="AE86" i="13"/>
  <c r="AD86" i="13"/>
  <c r="AL85" i="13"/>
  <c r="AE85" i="13"/>
  <c r="AD85" i="13"/>
  <c r="AL84" i="13"/>
  <c r="AF84" i="13"/>
  <c r="AE84" i="13"/>
  <c r="AD84" i="13"/>
  <c r="AL83" i="13"/>
  <c r="AE83" i="13"/>
  <c r="AD83" i="13"/>
  <c r="AL82" i="13"/>
  <c r="AF82" i="13"/>
  <c r="AE82" i="13"/>
  <c r="AD82" i="13"/>
  <c r="AL81" i="13"/>
  <c r="AE81" i="13"/>
  <c r="AD81" i="13"/>
  <c r="AL80" i="13"/>
  <c r="AF80" i="13"/>
  <c r="AE80" i="13"/>
  <c r="AD80" i="13"/>
  <c r="AL79" i="13"/>
  <c r="AE79" i="13"/>
  <c r="AD79" i="13"/>
  <c r="AL78" i="13"/>
  <c r="AF78" i="13"/>
  <c r="AE78" i="13"/>
  <c r="AD78" i="13"/>
  <c r="AL77" i="13"/>
  <c r="AE77" i="13"/>
  <c r="AD77" i="13"/>
  <c r="AL76" i="13"/>
  <c r="AF76" i="13"/>
  <c r="AE76" i="13"/>
  <c r="AD76" i="13"/>
  <c r="AL75" i="13"/>
  <c r="AE75" i="13"/>
  <c r="AD75" i="13"/>
  <c r="AL74" i="13"/>
  <c r="AF74" i="13"/>
  <c r="AE74" i="13"/>
  <c r="AD74" i="13"/>
  <c r="AL73" i="13"/>
  <c r="AE73" i="13"/>
  <c r="AD73" i="13"/>
  <c r="AL72" i="13"/>
  <c r="AF72" i="13"/>
  <c r="AE72" i="13"/>
  <c r="AD72" i="13"/>
  <c r="AL71" i="13"/>
  <c r="AE71" i="13"/>
  <c r="AD71" i="13"/>
  <c r="AL70" i="13"/>
  <c r="AF70" i="13"/>
  <c r="AE70" i="13"/>
  <c r="AD70" i="13"/>
  <c r="AL69" i="13"/>
  <c r="AE69" i="13"/>
  <c r="AD69" i="13"/>
  <c r="AL68" i="13"/>
  <c r="AF68" i="13"/>
  <c r="AE68" i="13"/>
  <c r="AD68" i="13"/>
  <c r="Q87" i="13"/>
  <c r="P87" i="13"/>
  <c r="R86" i="13"/>
  <c r="Q86" i="13"/>
  <c r="P86" i="13"/>
  <c r="Q85" i="13"/>
  <c r="P85" i="13"/>
  <c r="R84" i="13"/>
  <c r="Q84" i="13"/>
  <c r="P84" i="13"/>
  <c r="Q83" i="13"/>
  <c r="P83" i="13"/>
  <c r="R82" i="13"/>
  <c r="Q82" i="13"/>
  <c r="P82" i="13"/>
  <c r="Q81" i="13"/>
  <c r="P81" i="13"/>
  <c r="R80" i="13"/>
  <c r="Q80" i="13"/>
  <c r="P80" i="13"/>
  <c r="Q79" i="13"/>
  <c r="P79" i="13"/>
  <c r="R78" i="13"/>
  <c r="Q78" i="13"/>
  <c r="P78" i="13"/>
  <c r="Q77" i="13"/>
  <c r="P77" i="13"/>
  <c r="R76" i="13"/>
  <c r="Q76" i="13"/>
  <c r="P76" i="13"/>
  <c r="Q75" i="13"/>
  <c r="P75" i="13"/>
  <c r="R74" i="13"/>
  <c r="Q74" i="13"/>
  <c r="P74" i="13"/>
  <c r="Q73" i="13"/>
  <c r="P73" i="13"/>
  <c r="R72" i="13"/>
  <c r="Q72" i="13"/>
  <c r="P72" i="13"/>
  <c r="Q71" i="13"/>
  <c r="P71" i="13"/>
  <c r="R70" i="13"/>
  <c r="Q70" i="13"/>
  <c r="P70" i="13"/>
  <c r="Q69" i="13"/>
  <c r="P69" i="13"/>
  <c r="R68" i="13"/>
  <c r="Q68" i="13"/>
  <c r="P68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C87" i="13"/>
  <c r="B87" i="13"/>
  <c r="D86" i="13"/>
  <c r="C86" i="13"/>
  <c r="B86" i="13"/>
  <c r="C85" i="13"/>
  <c r="B85" i="13"/>
  <c r="D84" i="13"/>
  <c r="C84" i="13"/>
  <c r="B84" i="13"/>
  <c r="C83" i="13"/>
  <c r="B83" i="13"/>
  <c r="D82" i="13"/>
  <c r="C82" i="13"/>
  <c r="B82" i="13"/>
  <c r="C81" i="13"/>
  <c r="B81" i="13"/>
  <c r="D80" i="13"/>
  <c r="C80" i="13"/>
  <c r="B80" i="13"/>
  <c r="C79" i="13"/>
  <c r="B79" i="13"/>
  <c r="D78" i="13"/>
  <c r="C78" i="13"/>
  <c r="B78" i="13"/>
  <c r="C77" i="13"/>
  <c r="B77" i="13"/>
  <c r="D76" i="13"/>
  <c r="C76" i="13"/>
  <c r="B76" i="13"/>
  <c r="C75" i="13"/>
  <c r="B75" i="13"/>
  <c r="D74" i="13"/>
  <c r="C74" i="13"/>
  <c r="B74" i="13"/>
  <c r="C73" i="13"/>
  <c r="B73" i="13"/>
  <c r="D72" i="13"/>
  <c r="C72" i="13"/>
  <c r="B72" i="13"/>
  <c r="C71" i="13"/>
  <c r="B71" i="13"/>
  <c r="D70" i="13"/>
  <c r="C70" i="13"/>
  <c r="B70" i="13"/>
  <c r="C69" i="13"/>
  <c r="B69" i="13"/>
  <c r="D68" i="13"/>
  <c r="C68" i="13"/>
  <c r="B68" i="13"/>
  <c r="A86" i="13"/>
  <c r="O86" i="13" s="1"/>
  <c r="AC86" i="13" s="1"/>
  <c r="A84" i="13"/>
  <c r="O84" i="13" s="1"/>
  <c r="AC84" i="13" s="1"/>
  <c r="A82" i="13"/>
  <c r="O82" i="13" s="1"/>
  <c r="AC82" i="13" s="1"/>
  <c r="A80" i="13"/>
  <c r="O80" i="13" s="1"/>
  <c r="AC80" i="13" s="1"/>
  <c r="A78" i="13"/>
  <c r="O78" i="13" s="1"/>
  <c r="AC78" i="13" s="1"/>
  <c r="A76" i="13"/>
  <c r="O76" i="13" s="1"/>
  <c r="AC76" i="13" s="1"/>
  <c r="A74" i="13"/>
  <c r="O74" i="13" s="1"/>
  <c r="AC74" i="13" s="1"/>
  <c r="A72" i="13"/>
  <c r="O72" i="13" s="1"/>
  <c r="AC72" i="13" s="1"/>
  <c r="A70" i="13"/>
  <c r="O70" i="13" s="1"/>
  <c r="AC70" i="13" s="1"/>
  <c r="A68" i="13"/>
  <c r="O68" i="13" s="1"/>
  <c r="AC68" i="13" s="1"/>
  <c r="A64" i="13"/>
  <c r="O64" i="13" s="1"/>
  <c r="AC64" i="13" s="1"/>
  <c r="B64" i="13"/>
  <c r="C64" i="13"/>
  <c r="D64" i="13"/>
  <c r="J64" i="13"/>
  <c r="B65" i="13"/>
  <c r="C65" i="13"/>
  <c r="J65" i="13"/>
  <c r="A66" i="13"/>
  <c r="B66" i="13"/>
  <c r="C66" i="13"/>
  <c r="D66" i="13"/>
  <c r="J66" i="13"/>
  <c r="B67" i="13"/>
  <c r="C67" i="13"/>
  <c r="J67" i="13"/>
  <c r="O66" i="13"/>
  <c r="AC66" i="13" s="1"/>
  <c r="D8" i="13"/>
  <c r="D10" i="13"/>
  <c r="D12" i="13"/>
  <c r="D14" i="13"/>
  <c r="D16" i="13"/>
  <c r="D18" i="13"/>
  <c r="D20" i="13"/>
  <c r="D22" i="13"/>
  <c r="D24" i="13"/>
  <c r="D26" i="13"/>
  <c r="D28" i="13"/>
  <c r="D30" i="13"/>
  <c r="D32" i="13"/>
  <c r="D34" i="13"/>
  <c r="D36" i="13"/>
  <c r="D38" i="13"/>
  <c r="D40" i="13"/>
  <c r="D42" i="13"/>
  <c r="D44" i="13"/>
  <c r="D46" i="13"/>
  <c r="D48" i="13"/>
  <c r="D50" i="13"/>
  <c r="D52" i="13"/>
  <c r="D54" i="13"/>
  <c r="D56" i="13"/>
  <c r="D58" i="13"/>
  <c r="D60" i="13"/>
  <c r="D62" i="13"/>
  <c r="D6" i="13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10" i="8"/>
  <c r="B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9" i="8"/>
  <c r="B67" i="11"/>
  <c r="C67" i="11"/>
  <c r="D67" i="11"/>
  <c r="B68" i="11"/>
  <c r="C68" i="11"/>
  <c r="D68" i="11"/>
  <c r="B69" i="11"/>
  <c r="C69" i="11"/>
  <c r="D69" i="11"/>
  <c r="B70" i="11"/>
  <c r="C70" i="11"/>
  <c r="D70" i="11"/>
  <c r="B71" i="11"/>
  <c r="C71" i="11"/>
  <c r="D71" i="11"/>
  <c r="B72" i="11"/>
  <c r="C72" i="11"/>
  <c r="D72" i="11"/>
  <c r="B73" i="11"/>
  <c r="C73" i="11"/>
  <c r="D73" i="11"/>
  <c r="B74" i="11"/>
  <c r="C74" i="11"/>
  <c r="D74" i="11"/>
  <c r="B75" i="11"/>
  <c r="C75" i="11"/>
  <c r="D75" i="11"/>
  <c r="B76" i="11"/>
  <c r="C76" i="11"/>
  <c r="D76" i="11"/>
  <c r="B77" i="11"/>
  <c r="C77" i="11"/>
  <c r="D77" i="11"/>
  <c r="B78" i="11"/>
  <c r="C78" i="11"/>
  <c r="D78" i="11"/>
  <c r="B79" i="11"/>
  <c r="C79" i="11"/>
  <c r="D79" i="11"/>
  <c r="B80" i="11"/>
  <c r="C80" i="11"/>
  <c r="D80" i="11"/>
  <c r="B81" i="11"/>
  <c r="C81" i="11"/>
  <c r="D81" i="11"/>
  <c r="B82" i="11"/>
  <c r="C82" i="11"/>
  <c r="D82" i="11"/>
  <c r="B83" i="11"/>
  <c r="C83" i="11"/>
  <c r="D83" i="11"/>
  <c r="B84" i="11"/>
  <c r="C84" i="11"/>
  <c r="D84" i="11"/>
  <c r="B85" i="11"/>
  <c r="C85" i="11"/>
  <c r="D85" i="11"/>
  <c r="B86" i="11"/>
  <c r="C86" i="11"/>
  <c r="D86" i="11"/>
  <c r="A85" i="11"/>
  <c r="A83" i="11"/>
  <c r="A81" i="11"/>
  <c r="A79" i="11"/>
  <c r="A77" i="11"/>
  <c r="A75" i="11"/>
  <c r="A73" i="11"/>
  <c r="A71" i="11"/>
  <c r="A69" i="11"/>
  <c r="A67" i="11"/>
  <c r="A86" i="10"/>
  <c r="L86" i="10" s="1"/>
  <c r="W86" i="10" s="1"/>
  <c r="A84" i="10"/>
  <c r="L84" i="10" s="1"/>
  <c r="W84" i="10" s="1"/>
  <c r="A82" i="10"/>
  <c r="L82" i="10" s="1"/>
  <c r="W82" i="10" s="1"/>
  <c r="A80" i="10"/>
  <c r="L80" i="10" s="1"/>
  <c r="W80" i="10" s="1"/>
  <c r="A78" i="10"/>
  <c r="L78" i="10" s="1"/>
  <c r="W78" i="10" s="1"/>
  <c r="A76" i="10"/>
  <c r="L76" i="10" s="1"/>
  <c r="W76" i="10" s="1"/>
  <c r="A74" i="10"/>
  <c r="L74" i="10" s="1"/>
  <c r="W74" i="10" s="1"/>
  <c r="A72" i="10"/>
  <c r="L72" i="10" s="1"/>
  <c r="W72" i="10" s="1"/>
  <c r="A70" i="10"/>
  <c r="L70" i="10" s="1"/>
  <c r="W70" i="10" s="1"/>
  <c r="A68" i="10"/>
  <c r="L68" i="10" s="1"/>
  <c r="W68" i="10" s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2" i="3"/>
  <c r="P4" i="3"/>
  <c r="P5" i="3"/>
  <c r="P6" i="3"/>
  <c r="P7" i="3"/>
  <c r="P8" i="3"/>
  <c r="P9" i="3"/>
  <c r="P10" i="3"/>
  <c r="P11" i="3"/>
  <c r="P16" i="3"/>
  <c r="P17" i="3"/>
  <c r="P18" i="3"/>
  <c r="P19" i="3"/>
  <c r="P20" i="3"/>
  <c r="P21" i="3"/>
  <c r="P26" i="3"/>
  <c r="P27" i="3"/>
  <c r="P28" i="3"/>
  <c r="P29" i="3"/>
  <c r="P30" i="3"/>
  <c r="P31" i="3"/>
  <c r="P34" i="3"/>
  <c r="P35" i="3"/>
  <c r="P36" i="3"/>
  <c r="P37" i="3"/>
  <c r="P38" i="3"/>
  <c r="P39" i="3"/>
  <c r="P40" i="3"/>
  <c r="P41" i="3"/>
  <c r="P44" i="3"/>
  <c r="P45" i="3"/>
  <c r="P46" i="3"/>
  <c r="P47" i="3"/>
  <c r="P48" i="3"/>
  <c r="P49" i="3"/>
  <c r="P50" i="3"/>
  <c r="P51" i="3"/>
  <c r="J43" i="3"/>
  <c r="J42" i="3"/>
  <c r="J33" i="3"/>
  <c r="J32" i="3"/>
  <c r="J25" i="3"/>
  <c r="J24" i="3"/>
  <c r="J23" i="3"/>
  <c r="J22" i="3"/>
  <c r="J15" i="3"/>
  <c r="J14" i="3"/>
  <c r="J13" i="3"/>
  <c r="J12" i="3"/>
  <c r="J3" i="3"/>
  <c r="J2" i="3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F5" i="8"/>
  <c r="AL67" i="13"/>
  <c r="AF67" i="13"/>
  <c r="AE67" i="13"/>
  <c r="AD67" i="13"/>
  <c r="AL66" i="13"/>
  <c r="AF66" i="13"/>
  <c r="AE66" i="13"/>
  <c r="AD66" i="13"/>
  <c r="AL65" i="13"/>
  <c r="AF65" i="13"/>
  <c r="AE65" i="13"/>
  <c r="AD65" i="13"/>
  <c r="AL64" i="13"/>
  <c r="AF64" i="13"/>
  <c r="AE64" i="13"/>
  <c r="AD64" i="13"/>
  <c r="AL63" i="13"/>
  <c r="AF63" i="13"/>
  <c r="AE63" i="13"/>
  <c r="AD63" i="13"/>
  <c r="AL62" i="13"/>
  <c r="AF62" i="13"/>
  <c r="AE62" i="13"/>
  <c r="AD62" i="13"/>
  <c r="AL61" i="13"/>
  <c r="AF61" i="13"/>
  <c r="AE61" i="13"/>
  <c r="AD61" i="13"/>
  <c r="AL60" i="13"/>
  <c r="AF60" i="13"/>
  <c r="AE60" i="13"/>
  <c r="AD60" i="13"/>
  <c r="AL59" i="13"/>
  <c r="AF59" i="13"/>
  <c r="AE59" i="13"/>
  <c r="AD59" i="13"/>
  <c r="AL58" i="13"/>
  <c r="AF58" i="13"/>
  <c r="AE58" i="13"/>
  <c r="AD58" i="13"/>
  <c r="AL57" i="13"/>
  <c r="AF57" i="13"/>
  <c r="AE57" i="13"/>
  <c r="AD57" i="13"/>
  <c r="AL56" i="13"/>
  <c r="AF56" i="13"/>
  <c r="AE56" i="13"/>
  <c r="AD56" i="13"/>
  <c r="AL55" i="13"/>
  <c r="AF55" i="13"/>
  <c r="AE55" i="13"/>
  <c r="AD55" i="13"/>
  <c r="AL54" i="13"/>
  <c r="AF54" i="13"/>
  <c r="AE54" i="13"/>
  <c r="AD54" i="13"/>
  <c r="AL53" i="13"/>
  <c r="AF53" i="13"/>
  <c r="AE53" i="13"/>
  <c r="AD53" i="13"/>
  <c r="AL52" i="13"/>
  <c r="AF52" i="13"/>
  <c r="AE52" i="13"/>
  <c r="AD52" i="13"/>
  <c r="AL51" i="13"/>
  <c r="AF51" i="13"/>
  <c r="AE51" i="13"/>
  <c r="AD51" i="13"/>
  <c r="AL50" i="13"/>
  <c r="AF50" i="13"/>
  <c r="AE50" i="13"/>
  <c r="AD50" i="13"/>
  <c r="AL49" i="13"/>
  <c r="AF49" i="13"/>
  <c r="AE49" i="13"/>
  <c r="AD49" i="13"/>
  <c r="AL48" i="13"/>
  <c r="AF48" i="13"/>
  <c r="AE48" i="13"/>
  <c r="AD48" i="13"/>
  <c r="AL47" i="13"/>
  <c r="AF47" i="13"/>
  <c r="AE47" i="13"/>
  <c r="AD47" i="13"/>
  <c r="AL46" i="13"/>
  <c r="AF46" i="13"/>
  <c r="AE46" i="13"/>
  <c r="AD46" i="13"/>
  <c r="AL45" i="13"/>
  <c r="AF45" i="13"/>
  <c r="AE45" i="13"/>
  <c r="AD45" i="13"/>
  <c r="AL44" i="13"/>
  <c r="AF44" i="13"/>
  <c r="AE44" i="13"/>
  <c r="AD44" i="13"/>
  <c r="AL43" i="13"/>
  <c r="AF43" i="13"/>
  <c r="AE43" i="13"/>
  <c r="AD43" i="13"/>
  <c r="AL42" i="13"/>
  <c r="AF42" i="13"/>
  <c r="AE42" i="13"/>
  <c r="AD42" i="13"/>
  <c r="AL41" i="13"/>
  <c r="AF41" i="13"/>
  <c r="AE41" i="13"/>
  <c r="AD41" i="13"/>
  <c r="AL40" i="13"/>
  <c r="AF40" i="13"/>
  <c r="AE40" i="13"/>
  <c r="AD40" i="13"/>
  <c r="AL39" i="13"/>
  <c r="AF39" i="13"/>
  <c r="AE39" i="13"/>
  <c r="AD39" i="13"/>
  <c r="AL38" i="13"/>
  <c r="AF38" i="13"/>
  <c r="AE38" i="13"/>
  <c r="AD38" i="13"/>
  <c r="AL37" i="13"/>
  <c r="AF37" i="13"/>
  <c r="AE37" i="13"/>
  <c r="AD37" i="13"/>
  <c r="AL36" i="13"/>
  <c r="AF36" i="13"/>
  <c r="AE36" i="13"/>
  <c r="AD36" i="13"/>
  <c r="AL35" i="13"/>
  <c r="AF35" i="13"/>
  <c r="AE35" i="13"/>
  <c r="AD35" i="13"/>
  <c r="AL34" i="13"/>
  <c r="AF34" i="13"/>
  <c r="AE34" i="13"/>
  <c r="AD34" i="13"/>
  <c r="AL33" i="13"/>
  <c r="AF33" i="13"/>
  <c r="AE33" i="13"/>
  <c r="AD33" i="13"/>
  <c r="AL32" i="13"/>
  <c r="AF32" i="13"/>
  <c r="AE32" i="13"/>
  <c r="AD32" i="13"/>
  <c r="AL31" i="13"/>
  <c r="AF31" i="13"/>
  <c r="AE31" i="13"/>
  <c r="AD31" i="13"/>
  <c r="AL30" i="13"/>
  <c r="AF30" i="13"/>
  <c r="AE30" i="13"/>
  <c r="AD30" i="13"/>
  <c r="AL29" i="13"/>
  <c r="AF29" i="13"/>
  <c r="AE29" i="13"/>
  <c r="AD29" i="13"/>
  <c r="AL28" i="13"/>
  <c r="AF28" i="13"/>
  <c r="AE28" i="13"/>
  <c r="AD28" i="13"/>
  <c r="AL27" i="13"/>
  <c r="AF27" i="13"/>
  <c r="AE27" i="13"/>
  <c r="AD27" i="13"/>
  <c r="AL26" i="13"/>
  <c r="AF26" i="13"/>
  <c r="AE26" i="13"/>
  <c r="AD26" i="13"/>
  <c r="AL25" i="13"/>
  <c r="AF25" i="13"/>
  <c r="AE25" i="13"/>
  <c r="AD25" i="13"/>
  <c r="AL24" i="13"/>
  <c r="AF24" i="13"/>
  <c r="AE24" i="13"/>
  <c r="AD24" i="13"/>
  <c r="AL23" i="13"/>
  <c r="AF23" i="13"/>
  <c r="AE23" i="13"/>
  <c r="AD23" i="13"/>
  <c r="AL22" i="13"/>
  <c r="AF22" i="13"/>
  <c r="AE22" i="13"/>
  <c r="AD22" i="13"/>
  <c r="AL21" i="13"/>
  <c r="AF21" i="13"/>
  <c r="AE21" i="13"/>
  <c r="AD21" i="13"/>
  <c r="AL20" i="13"/>
  <c r="AF20" i="13"/>
  <c r="AE20" i="13"/>
  <c r="AD20" i="13"/>
  <c r="AL19" i="13"/>
  <c r="AF19" i="13"/>
  <c r="AE19" i="13"/>
  <c r="AD19" i="13"/>
  <c r="AL18" i="13"/>
  <c r="AF18" i="13"/>
  <c r="AE18" i="13"/>
  <c r="AD18" i="13"/>
  <c r="AL17" i="13"/>
  <c r="AF17" i="13"/>
  <c r="AE17" i="13"/>
  <c r="AD17" i="13"/>
  <c r="AL16" i="13"/>
  <c r="AF16" i="13"/>
  <c r="AE16" i="13"/>
  <c r="AD16" i="13"/>
  <c r="AL15" i="13"/>
  <c r="AF15" i="13"/>
  <c r="AE15" i="13"/>
  <c r="AD15" i="13"/>
  <c r="AL14" i="13"/>
  <c r="AF14" i="13"/>
  <c r="AE14" i="13"/>
  <c r="AD14" i="13"/>
  <c r="AL13" i="13"/>
  <c r="AF13" i="13"/>
  <c r="AE13" i="13"/>
  <c r="AD13" i="13"/>
  <c r="AL12" i="13"/>
  <c r="AF12" i="13"/>
  <c r="AE12" i="13"/>
  <c r="AD12" i="13"/>
  <c r="AL11" i="13"/>
  <c r="AF11" i="13"/>
  <c r="AE11" i="13"/>
  <c r="AD11" i="13"/>
  <c r="AL10" i="13"/>
  <c r="AF10" i="13"/>
  <c r="AE10" i="13"/>
  <c r="AD10" i="13"/>
  <c r="AL9" i="13"/>
  <c r="AF9" i="13"/>
  <c r="AE9" i="13"/>
  <c r="AD9" i="13"/>
  <c r="AL8" i="13"/>
  <c r="AF8" i="13"/>
  <c r="AE8" i="13"/>
  <c r="AD8" i="13"/>
  <c r="AL7" i="13"/>
  <c r="AF7" i="13"/>
  <c r="AE7" i="13"/>
  <c r="AD7" i="13"/>
  <c r="AL6" i="13"/>
  <c r="AF6" i="13"/>
  <c r="AE6" i="13"/>
  <c r="AD6" i="13"/>
  <c r="AL5" i="13"/>
  <c r="AF5" i="13"/>
  <c r="AE5" i="13"/>
  <c r="AD5" i="13"/>
  <c r="AL4" i="13"/>
  <c r="AF4" i="13"/>
  <c r="AE4" i="13"/>
  <c r="AD4" i="13"/>
  <c r="R67" i="13"/>
  <c r="Q67" i="13"/>
  <c r="P67" i="13"/>
  <c r="R66" i="13"/>
  <c r="Q66" i="13"/>
  <c r="P66" i="13"/>
  <c r="R65" i="13"/>
  <c r="Q65" i="13"/>
  <c r="P65" i="13"/>
  <c r="R64" i="13"/>
  <c r="Q64" i="13"/>
  <c r="P64" i="13"/>
  <c r="R63" i="13"/>
  <c r="Q63" i="13"/>
  <c r="P63" i="13"/>
  <c r="R62" i="13"/>
  <c r="Q62" i="13"/>
  <c r="P62" i="13"/>
  <c r="R61" i="13"/>
  <c r="Q61" i="13"/>
  <c r="P61" i="13"/>
  <c r="R60" i="13"/>
  <c r="Q60" i="13"/>
  <c r="P60" i="13"/>
  <c r="R59" i="13"/>
  <c r="Q59" i="13"/>
  <c r="P59" i="13"/>
  <c r="R58" i="13"/>
  <c r="Q58" i="13"/>
  <c r="P58" i="13"/>
  <c r="R57" i="13"/>
  <c r="Q57" i="13"/>
  <c r="P57" i="13"/>
  <c r="R56" i="13"/>
  <c r="Q56" i="13"/>
  <c r="P56" i="13"/>
  <c r="R55" i="13"/>
  <c r="Q55" i="13"/>
  <c r="P55" i="13"/>
  <c r="R54" i="13"/>
  <c r="Q54" i="13"/>
  <c r="P54" i="13"/>
  <c r="R53" i="13"/>
  <c r="Q53" i="13"/>
  <c r="P53" i="13"/>
  <c r="R52" i="13"/>
  <c r="Q52" i="13"/>
  <c r="P52" i="13"/>
  <c r="R51" i="13"/>
  <c r="Q51" i="13"/>
  <c r="P51" i="13"/>
  <c r="R50" i="13"/>
  <c r="Q50" i="13"/>
  <c r="P50" i="13"/>
  <c r="R49" i="13"/>
  <c r="Q49" i="13"/>
  <c r="P49" i="13"/>
  <c r="R48" i="13"/>
  <c r="Q48" i="13"/>
  <c r="P48" i="13"/>
  <c r="R47" i="13"/>
  <c r="Q47" i="13"/>
  <c r="P47" i="13"/>
  <c r="R46" i="13"/>
  <c r="Q46" i="13"/>
  <c r="P46" i="13"/>
  <c r="R45" i="13"/>
  <c r="Q45" i="13"/>
  <c r="P45" i="13"/>
  <c r="R44" i="13"/>
  <c r="Q44" i="13"/>
  <c r="P44" i="13"/>
  <c r="R43" i="13"/>
  <c r="Q43" i="13"/>
  <c r="P43" i="13"/>
  <c r="R42" i="13"/>
  <c r="Q42" i="13"/>
  <c r="P42" i="13"/>
  <c r="R41" i="13"/>
  <c r="Q41" i="13"/>
  <c r="P41" i="13"/>
  <c r="R40" i="13"/>
  <c r="Q40" i="13"/>
  <c r="P40" i="13"/>
  <c r="R39" i="13"/>
  <c r="Q39" i="13"/>
  <c r="P39" i="13"/>
  <c r="R38" i="13"/>
  <c r="Q38" i="13"/>
  <c r="P38" i="13"/>
  <c r="R37" i="13"/>
  <c r="Q37" i="13"/>
  <c r="P37" i="13"/>
  <c r="R36" i="13"/>
  <c r="Q36" i="13"/>
  <c r="P36" i="13"/>
  <c r="R35" i="13"/>
  <c r="Q35" i="13"/>
  <c r="P35" i="13"/>
  <c r="R34" i="13"/>
  <c r="Q34" i="13"/>
  <c r="P34" i="13"/>
  <c r="R33" i="13"/>
  <c r="Q33" i="13"/>
  <c r="P33" i="13"/>
  <c r="R32" i="13"/>
  <c r="Q32" i="13"/>
  <c r="P32" i="13"/>
  <c r="R31" i="13"/>
  <c r="Q31" i="13"/>
  <c r="P31" i="13"/>
  <c r="R30" i="13"/>
  <c r="Q30" i="13"/>
  <c r="P30" i="13"/>
  <c r="R29" i="13"/>
  <c r="Q29" i="13"/>
  <c r="P29" i="13"/>
  <c r="R28" i="13"/>
  <c r="Q28" i="13"/>
  <c r="P28" i="13"/>
  <c r="R27" i="13"/>
  <c r="Q27" i="13"/>
  <c r="P27" i="13"/>
  <c r="R26" i="13"/>
  <c r="Q26" i="13"/>
  <c r="P26" i="13"/>
  <c r="R25" i="13"/>
  <c r="Q25" i="13"/>
  <c r="P25" i="13"/>
  <c r="R24" i="13"/>
  <c r="Q24" i="13"/>
  <c r="P24" i="13"/>
  <c r="R23" i="13"/>
  <c r="Q23" i="13"/>
  <c r="P23" i="13"/>
  <c r="R22" i="13"/>
  <c r="Q22" i="13"/>
  <c r="P22" i="13"/>
  <c r="R21" i="13"/>
  <c r="Q21" i="13"/>
  <c r="P21" i="13"/>
  <c r="R20" i="13"/>
  <c r="Q20" i="13"/>
  <c r="P20" i="13"/>
  <c r="R19" i="13"/>
  <c r="Q19" i="13"/>
  <c r="P19" i="13"/>
  <c r="R18" i="13"/>
  <c r="Q18" i="13"/>
  <c r="P18" i="13"/>
  <c r="R17" i="13"/>
  <c r="Q17" i="13"/>
  <c r="P17" i="13"/>
  <c r="R16" i="13"/>
  <c r="Q16" i="13"/>
  <c r="P16" i="13"/>
  <c r="R15" i="13"/>
  <c r="Q15" i="13"/>
  <c r="P15" i="13"/>
  <c r="R14" i="13"/>
  <c r="Q14" i="13"/>
  <c r="P14" i="13"/>
  <c r="R13" i="13"/>
  <c r="Q13" i="13"/>
  <c r="P13" i="13"/>
  <c r="R12" i="13"/>
  <c r="Q12" i="13"/>
  <c r="P12" i="13"/>
  <c r="R11" i="13"/>
  <c r="Q11" i="13"/>
  <c r="P11" i="13"/>
  <c r="R10" i="13"/>
  <c r="Q10" i="13"/>
  <c r="P10" i="13"/>
  <c r="R9" i="13"/>
  <c r="Q9" i="13"/>
  <c r="P9" i="13"/>
  <c r="R8" i="13"/>
  <c r="Q8" i="13"/>
  <c r="P8" i="13"/>
  <c r="R7" i="13"/>
  <c r="Q7" i="13"/>
  <c r="P7" i="13"/>
  <c r="R6" i="13"/>
  <c r="Q6" i="13"/>
  <c r="P6" i="13"/>
  <c r="R5" i="13"/>
  <c r="Q5" i="13"/>
  <c r="P5" i="13"/>
  <c r="R4" i="13"/>
  <c r="Q4" i="13"/>
  <c r="P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B5" i="13"/>
  <c r="C5" i="13"/>
  <c r="B6" i="13"/>
  <c r="C6" i="13"/>
  <c r="B7" i="13"/>
  <c r="C7" i="13"/>
  <c r="B8" i="13"/>
  <c r="C8" i="13"/>
  <c r="B9" i="13"/>
  <c r="C9" i="13"/>
  <c r="B10" i="13"/>
  <c r="C10" i="13"/>
  <c r="B11" i="13"/>
  <c r="C11" i="13"/>
  <c r="B12" i="13"/>
  <c r="C12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41" i="13"/>
  <c r="C41" i="13"/>
  <c r="B42" i="13"/>
  <c r="C42" i="13"/>
  <c r="B43" i="13"/>
  <c r="C43" i="13"/>
  <c r="B44" i="13"/>
  <c r="C44" i="13"/>
  <c r="B45" i="13"/>
  <c r="C45" i="13"/>
  <c r="B46" i="13"/>
  <c r="C46" i="13"/>
  <c r="B47" i="13"/>
  <c r="C47" i="13"/>
  <c r="B48" i="13"/>
  <c r="C48" i="13"/>
  <c r="B49" i="13"/>
  <c r="C49" i="13"/>
  <c r="B50" i="13"/>
  <c r="C50" i="13"/>
  <c r="B51" i="13"/>
  <c r="C51" i="13"/>
  <c r="B52" i="13"/>
  <c r="C52" i="13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B63" i="13"/>
  <c r="C63" i="13"/>
  <c r="D4" i="13"/>
  <c r="C4" i="13"/>
  <c r="B4" i="13"/>
  <c r="A62" i="13"/>
  <c r="O62" i="13" s="1"/>
  <c r="AC62" i="13" s="1"/>
  <c r="A60" i="13"/>
  <c r="O60" i="13" s="1"/>
  <c r="AC60" i="13" s="1"/>
  <c r="A58" i="13"/>
  <c r="O58" i="13" s="1"/>
  <c r="AC58" i="13" s="1"/>
  <c r="A56" i="13"/>
  <c r="O56" i="13" s="1"/>
  <c r="AC56" i="13" s="1"/>
  <c r="A54" i="13"/>
  <c r="O54" i="13" s="1"/>
  <c r="AC54" i="13" s="1"/>
  <c r="A52" i="13"/>
  <c r="O52" i="13" s="1"/>
  <c r="AC52" i="13" s="1"/>
  <c r="A50" i="13"/>
  <c r="O50" i="13" s="1"/>
  <c r="AC50" i="13" s="1"/>
  <c r="A48" i="13"/>
  <c r="O48" i="13" s="1"/>
  <c r="AC48" i="13" s="1"/>
  <c r="A46" i="13"/>
  <c r="O46" i="13" s="1"/>
  <c r="AC46" i="13" s="1"/>
  <c r="A44" i="13"/>
  <c r="O44" i="13" s="1"/>
  <c r="AC44" i="13" s="1"/>
  <c r="A42" i="13"/>
  <c r="O42" i="13" s="1"/>
  <c r="AC42" i="13" s="1"/>
  <c r="A40" i="13"/>
  <c r="O40" i="13" s="1"/>
  <c r="AC40" i="13" s="1"/>
  <c r="A38" i="13"/>
  <c r="O38" i="13" s="1"/>
  <c r="AC38" i="13" s="1"/>
  <c r="A36" i="13"/>
  <c r="O36" i="13" s="1"/>
  <c r="AC36" i="13" s="1"/>
  <c r="A34" i="13"/>
  <c r="O34" i="13" s="1"/>
  <c r="AC34" i="13" s="1"/>
  <c r="A32" i="13"/>
  <c r="O32" i="13" s="1"/>
  <c r="AC32" i="13" s="1"/>
  <c r="A30" i="13"/>
  <c r="O30" i="13" s="1"/>
  <c r="AC30" i="13" s="1"/>
  <c r="A28" i="13"/>
  <c r="O28" i="13" s="1"/>
  <c r="AC28" i="13" s="1"/>
  <c r="A26" i="13"/>
  <c r="O26" i="13" s="1"/>
  <c r="AC26" i="13" s="1"/>
  <c r="A24" i="13"/>
  <c r="O24" i="13" s="1"/>
  <c r="AC24" i="13" s="1"/>
  <c r="A22" i="13"/>
  <c r="O22" i="13" s="1"/>
  <c r="AC22" i="13" s="1"/>
  <c r="A20" i="13"/>
  <c r="O20" i="13" s="1"/>
  <c r="AC20" i="13" s="1"/>
  <c r="A18" i="13"/>
  <c r="O18" i="13" s="1"/>
  <c r="AC18" i="13" s="1"/>
  <c r="A16" i="13"/>
  <c r="O16" i="13" s="1"/>
  <c r="AC16" i="13" s="1"/>
  <c r="A14" i="13"/>
  <c r="O14" i="13" s="1"/>
  <c r="AC14" i="13" s="1"/>
  <c r="A12" i="13"/>
  <c r="O12" i="13" s="1"/>
  <c r="AC12" i="13" s="1"/>
  <c r="A10" i="13"/>
  <c r="O10" i="13" s="1"/>
  <c r="AC10" i="13" s="1"/>
  <c r="A8" i="13"/>
  <c r="O8" i="13" s="1"/>
  <c r="AC8" i="13" s="1"/>
  <c r="A6" i="13"/>
  <c r="O6" i="13" s="1"/>
  <c r="AC6" i="13" s="1"/>
  <c r="A4" i="13"/>
  <c r="O4" i="13" s="1"/>
  <c r="AC4" i="13" s="1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Q24" i="3" s="1"/>
  <c r="L24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Q15" i="3" s="1"/>
  <c r="L15" i="3"/>
  <c r="M14" i="3"/>
  <c r="Q14" i="3" s="1"/>
  <c r="L14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4" i="3"/>
  <c r="L4" i="3"/>
  <c r="D66" i="11"/>
  <c r="C66" i="11"/>
  <c r="B66" i="11"/>
  <c r="D65" i="11"/>
  <c r="C65" i="11"/>
  <c r="B65" i="11"/>
  <c r="A65" i="11"/>
  <c r="D64" i="11"/>
  <c r="C64" i="11"/>
  <c r="B64" i="11"/>
  <c r="D63" i="11"/>
  <c r="C63" i="11"/>
  <c r="B63" i="11"/>
  <c r="A63" i="11"/>
  <c r="D62" i="11"/>
  <c r="C62" i="11"/>
  <c r="B62" i="11"/>
  <c r="D61" i="11"/>
  <c r="C61" i="11"/>
  <c r="B61" i="11"/>
  <c r="A61" i="11"/>
  <c r="D60" i="11"/>
  <c r="C60" i="11"/>
  <c r="B60" i="11"/>
  <c r="D59" i="11"/>
  <c r="C59" i="11"/>
  <c r="B59" i="11"/>
  <c r="A59" i="11"/>
  <c r="D58" i="11"/>
  <c r="C58" i="11"/>
  <c r="B58" i="11"/>
  <c r="D57" i="11"/>
  <c r="C57" i="11"/>
  <c r="B57" i="11"/>
  <c r="A57" i="11"/>
  <c r="D56" i="11"/>
  <c r="C56" i="11"/>
  <c r="B56" i="11"/>
  <c r="D55" i="11"/>
  <c r="C55" i="11"/>
  <c r="B55" i="11"/>
  <c r="A55" i="11"/>
  <c r="D54" i="11"/>
  <c r="C54" i="11"/>
  <c r="B54" i="11"/>
  <c r="D53" i="11"/>
  <c r="C53" i="11"/>
  <c r="B53" i="11"/>
  <c r="A53" i="11"/>
  <c r="D52" i="11"/>
  <c r="C52" i="11"/>
  <c r="B52" i="11"/>
  <c r="D51" i="11"/>
  <c r="C51" i="11"/>
  <c r="B51" i="11"/>
  <c r="A51" i="11"/>
  <c r="D50" i="11"/>
  <c r="C50" i="11"/>
  <c r="B50" i="11"/>
  <c r="D49" i="11"/>
  <c r="C49" i="11"/>
  <c r="B49" i="11"/>
  <c r="A49" i="11"/>
  <c r="D48" i="11"/>
  <c r="C48" i="11"/>
  <c r="B48" i="11"/>
  <c r="D47" i="11"/>
  <c r="C47" i="11"/>
  <c r="B47" i="11"/>
  <c r="A47" i="11"/>
  <c r="D46" i="11"/>
  <c r="C46" i="11"/>
  <c r="B46" i="11"/>
  <c r="D45" i="11"/>
  <c r="C45" i="11"/>
  <c r="B45" i="11"/>
  <c r="A45" i="11"/>
  <c r="D44" i="11"/>
  <c r="C44" i="11"/>
  <c r="B44" i="11"/>
  <c r="D43" i="11"/>
  <c r="C43" i="11"/>
  <c r="B43" i="11"/>
  <c r="A43" i="11"/>
  <c r="D42" i="11"/>
  <c r="C42" i="11"/>
  <c r="B42" i="11"/>
  <c r="D41" i="11"/>
  <c r="C41" i="11"/>
  <c r="B41" i="11"/>
  <c r="A41" i="11"/>
  <c r="D40" i="11"/>
  <c r="C40" i="11"/>
  <c r="B40" i="11"/>
  <c r="D39" i="11"/>
  <c r="C39" i="11"/>
  <c r="B39" i="11"/>
  <c r="A39" i="11"/>
  <c r="D38" i="11"/>
  <c r="C38" i="11"/>
  <c r="B38" i="11"/>
  <c r="D37" i="11"/>
  <c r="C37" i="11"/>
  <c r="B37" i="11"/>
  <c r="A37" i="11"/>
  <c r="D36" i="11"/>
  <c r="C36" i="11"/>
  <c r="B36" i="11"/>
  <c r="D35" i="11"/>
  <c r="C35" i="11"/>
  <c r="B35" i="11"/>
  <c r="A35" i="11"/>
  <c r="D34" i="11"/>
  <c r="C34" i="11"/>
  <c r="B34" i="11"/>
  <c r="D33" i="11"/>
  <c r="C33" i="11"/>
  <c r="B33" i="11"/>
  <c r="A33" i="11"/>
  <c r="D32" i="11"/>
  <c r="C32" i="11"/>
  <c r="B32" i="11"/>
  <c r="D31" i="11"/>
  <c r="C31" i="11"/>
  <c r="B31" i="11"/>
  <c r="A31" i="11"/>
  <c r="D30" i="11"/>
  <c r="C30" i="11"/>
  <c r="B30" i="11"/>
  <c r="D29" i="11"/>
  <c r="C29" i="11"/>
  <c r="B29" i="11"/>
  <c r="A29" i="11"/>
  <c r="D28" i="11"/>
  <c r="C28" i="11"/>
  <c r="B28" i="11"/>
  <c r="D27" i="11"/>
  <c r="C27" i="11"/>
  <c r="B27" i="11"/>
  <c r="A27" i="11"/>
  <c r="D26" i="11"/>
  <c r="C26" i="11"/>
  <c r="B26" i="11"/>
  <c r="D25" i="11"/>
  <c r="C25" i="11"/>
  <c r="B25" i="11"/>
  <c r="A25" i="11"/>
  <c r="D24" i="11"/>
  <c r="C24" i="11"/>
  <c r="B24" i="11"/>
  <c r="D23" i="11"/>
  <c r="C23" i="11"/>
  <c r="B23" i="11"/>
  <c r="A23" i="11"/>
  <c r="D22" i="11"/>
  <c r="C22" i="11"/>
  <c r="B22" i="11"/>
  <c r="D21" i="11"/>
  <c r="C21" i="11"/>
  <c r="B21" i="11"/>
  <c r="A21" i="11"/>
  <c r="D20" i="11"/>
  <c r="C20" i="11"/>
  <c r="B20" i="11"/>
  <c r="D19" i="11"/>
  <c r="C19" i="11"/>
  <c r="B19" i="11"/>
  <c r="A19" i="11"/>
  <c r="D18" i="11"/>
  <c r="C18" i="11"/>
  <c r="B18" i="11"/>
  <c r="D17" i="11"/>
  <c r="C17" i="11"/>
  <c r="B17" i="11"/>
  <c r="A17" i="11"/>
  <c r="D16" i="11"/>
  <c r="C16" i="11"/>
  <c r="B16" i="11"/>
  <c r="D15" i="11"/>
  <c r="C15" i="11"/>
  <c r="B15" i="11"/>
  <c r="A15" i="11"/>
  <c r="D14" i="11"/>
  <c r="C14" i="11"/>
  <c r="B14" i="11"/>
  <c r="D13" i="11"/>
  <c r="C13" i="11"/>
  <c r="B13" i="11"/>
  <c r="A13" i="11"/>
  <c r="D12" i="11"/>
  <c r="C12" i="11"/>
  <c r="B12" i="11"/>
  <c r="D11" i="11"/>
  <c r="C11" i="11"/>
  <c r="B11" i="11"/>
  <c r="A11" i="11"/>
  <c r="D10" i="11"/>
  <c r="C10" i="11"/>
  <c r="B10" i="11"/>
  <c r="D9" i="11"/>
  <c r="C9" i="11"/>
  <c r="B9" i="11"/>
  <c r="A9" i="11"/>
  <c r="D8" i="11"/>
  <c r="C8" i="11"/>
  <c r="B8" i="11"/>
  <c r="D7" i="11"/>
  <c r="C7" i="11"/>
  <c r="B7" i="11"/>
  <c r="A7" i="11"/>
  <c r="D6" i="11"/>
  <c r="C6" i="11"/>
  <c r="B6" i="11"/>
  <c r="D5" i="11"/>
  <c r="C5" i="11"/>
  <c r="B5" i="11"/>
  <c r="A5" i="11"/>
  <c r="D4" i="11"/>
  <c r="C4" i="11"/>
  <c r="B4" i="11"/>
  <c r="D3" i="11"/>
  <c r="C3" i="11"/>
  <c r="A3" i="11"/>
  <c r="A66" i="10"/>
  <c r="L66" i="10" s="1"/>
  <c r="W66" i="10" s="1"/>
  <c r="A64" i="10"/>
  <c r="L64" i="10" s="1"/>
  <c r="A62" i="10"/>
  <c r="L62" i="10" s="1"/>
  <c r="W62" i="10" s="1"/>
  <c r="A60" i="10"/>
  <c r="L60" i="10" s="1"/>
  <c r="A58" i="10"/>
  <c r="L58" i="10" s="1"/>
  <c r="A56" i="10"/>
  <c r="A54" i="10"/>
  <c r="A52" i="10"/>
  <c r="L52" i="10" s="1"/>
  <c r="A50" i="10"/>
  <c r="L50" i="10" s="1"/>
  <c r="A48" i="10"/>
  <c r="L48" i="10" s="1"/>
  <c r="W48" i="10" s="1"/>
  <c r="A46" i="10"/>
  <c r="L46" i="10" s="1"/>
  <c r="A44" i="10"/>
  <c r="L44" i="10" s="1"/>
  <c r="A42" i="10"/>
  <c r="L42" i="10" s="1"/>
  <c r="W42" i="10" s="1"/>
  <c r="A40" i="10"/>
  <c r="L40" i="10" s="1"/>
  <c r="W40" i="10" s="1"/>
  <c r="A38" i="10"/>
  <c r="L38" i="10" s="1"/>
  <c r="W38" i="10" s="1"/>
  <c r="A36" i="10"/>
  <c r="L36" i="10" s="1"/>
  <c r="W36" i="10" s="1"/>
  <c r="A34" i="10"/>
  <c r="L34" i="10" s="1"/>
  <c r="A32" i="10"/>
  <c r="L32" i="10" s="1"/>
  <c r="A30" i="10"/>
  <c r="L30" i="10" s="1"/>
  <c r="A28" i="10"/>
  <c r="L28" i="10" s="1"/>
  <c r="A26" i="10"/>
  <c r="L26" i="10" s="1"/>
  <c r="W26" i="10" s="1"/>
  <c r="A24" i="10"/>
  <c r="L24" i="10" s="1"/>
  <c r="A22" i="10"/>
  <c r="L22" i="10" s="1"/>
  <c r="W22" i="10" s="1"/>
  <c r="A20" i="10"/>
  <c r="L20" i="10" s="1"/>
  <c r="W20" i="10" s="1"/>
  <c r="A18" i="10"/>
  <c r="L18" i="10" s="1"/>
  <c r="A16" i="10"/>
  <c r="L16" i="10" s="1"/>
  <c r="A14" i="10"/>
  <c r="L14" i="10" s="1"/>
  <c r="A12" i="10"/>
  <c r="L12" i="10" s="1"/>
  <c r="A10" i="10"/>
  <c r="L10" i="10" s="1"/>
  <c r="W10" i="10" s="1"/>
  <c r="A8" i="10"/>
  <c r="L8" i="10" s="1"/>
  <c r="A6" i="10"/>
  <c r="L6" i="10" s="1"/>
  <c r="W6" i="10" s="1"/>
  <c r="A4" i="10"/>
  <c r="L4" i="10" s="1"/>
  <c r="Q4" i="3"/>
  <c r="R4" i="3"/>
  <c r="Q5" i="3"/>
  <c r="R5" i="3"/>
  <c r="Q6" i="3"/>
  <c r="R6" i="3"/>
  <c r="Q7" i="3"/>
  <c r="R7" i="3"/>
  <c r="Q8" i="3"/>
  <c r="R8" i="3"/>
  <c r="Q9" i="3"/>
  <c r="R9" i="3"/>
  <c r="Q10" i="3"/>
  <c r="R10" i="3"/>
  <c r="Q11" i="3"/>
  <c r="R11" i="3"/>
  <c r="Q16" i="3"/>
  <c r="R16" i="3"/>
  <c r="Q17" i="3"/>
  <c r="R17" i="3"/>
  <c r="Q18" i="3"/>
  <c r="R18" i="3"/>
  <c r="Q19" i="3"/>
  <c r="R19" i="3"/>
  <c r="Q20" i="3"/>
  <c r="R20" i="3"/>
  <c r="Q21" i="3"/>
  <c r="R21" i="3"/>
  <c r="Q26" i="3"/>
  <c r="R26" i="3"/>
  <c r="Q27" i="3"/>
  <c r="R27" i="3"/>
  <c r="Q28" i="3"/>
  <c r="R28" i="3"/>
  <c r="Q29" i="3"/>
  <c r="R29" i="3"/>
  <c r="Q30" i="3"/>
  <c r="R30" i="3"/>
  <c r="Q31" i="3"/>
  <c r="R31" i="3"/>
  <c r="Q34" i="3"/>
  <c r="R34" i="3"/>
  <c r="Q35" i="3"/>
  <c r="R35" i="3"/>
  <c r="Q36" i="3"/>
  <c r="R36" i="3"/>
  <c r="Q37" i="3"/>
  <c r="R37" i="3"/>
  <c r="Q38" i="3"/>
  <c r="R38" i="3"/>
  <c r="Q39" i="3"/>
  <c r="R39" i="3"/>
  <c r="Q40" i="3"/>
  <c r="R40" i="3"/>
  <c r="Q41" i="3"/>
  <c r="R41" i="3"/>
  <c r="Q44" i="3"/>
  <c r="R44" i="3"/>
  <c r="Q45" i="3"/>
  <c r="R45" i="3"/>
  <c r="Q46" i="3"/>
  <c r="R46" i="3"/>
  <c r="Q47" i="3"/>
  <c r="R47" i="3"/>
  <c r="Q48" i="3"/>
  <c r="R48" i="3"/>
  <c r="Q49" i="3"/>
  <c r="R49" i="3"/>
  <c r="Q50" i="3"/>
  <c r="R50" i="3"/>
  <c r="Q51" i="3"/>
  <c r="R51" i="3"/>
  <c r="N43" i="3"/>
  <c r="N44" i="3"/>
  <c r="N45" i="3"/>
  <c r="N46" i="3"/>
  <c r="N47" i="3"/>
  <c r="N48" i="3"/>
  <c r="N49" i="3"/>
  <c r="N50" i="3"/>
  <c r="N51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14" i="3"/>
  <c r="N13" i="3"/>
  <c r="N15" i="3"/>
  <c r="N16" i="3"/>
  <c r="N17" i="3"/>
  <c r="N18" i="3"/>
  <c r="N19" i="3"/>
  <c r="N20" i="3"/>
  <c r="N21" i="3"/>
  <c r="N12" i="3"/>
  <c r="N2" i="3"/>
  <c r="N3" i="3"/>
  <c r="N4" i="3"/>
  <c r="N5" i="3"/>
  <c r="N6" i="3"/>
  <c r="N7" i="3"/>
  <c r="N8" i="3"/>
  <c r="N9" i="3"/>
  <c r="N10" i="3"/>
  <c r="N11" i="3"/>
  <c r="F2" i="8" l="1"/>
  <c r="H2" i="8"/>
  <c r="B2" i="8"/>
  <c r="Q25" i="3"/>
  <c r="R25" i="3"/>
  <c r="P15" i="3"/>
  <c r="P25" i="3"/>
  <c r="R14" i="3"/>
  <c r="R24" i="3"/>
  <c r="P14" i="3"/>
  <c r="P24" i="3"/>
  <c r="R15" i="3"/>
  <c r="B18" i="1"/>
  <c r="W14" i="10"/>
  <c r="W30" i="10"/>
  <c r="W46" i="10"/>
  <c r="W16" i="10"/>
  <c r="W32" i="10"/>
  <c r="L56" i="10"/>
  <c r="W56" i="10" s="1"/>
  <c r="W58" i="10"/>
  <c r="L54" i="10"/>
  <c r="W54" i="10" s="1"/>
  <c r="W60" i="10"/>
  <c r="W18" i="10"/>
  <c r="W34" i="10"/>
  <c r="W50" i="10"/>
  <c r="W64" i="10"/>
  <c r="W12" i="10"/>
  <c r="W28" i="10"/>
  <c r="W44" i="10"/>
  <c r="W52" i="10"/>
  <c r="W4" i="10"/>
  <c r="W8" i="10"/>
  <c r="W24" i="10"/>
  <c r="L3" i="3" l="1"/>
  <c r="L33" i="3" l="1"/>
  <c r="M33" i="3"/>
  <c r="M43" i="3"/>
  <c r="L42" i="3"/>
  <c r="M42" i="3"/>
  <c r="L22" i="3"/>
  <c r="L13" i="3"/>
  <c r="L12" i="3"/>
  <c r="M32" i="3"/>
  <c r="L32" i="3"/>
  <c r="L43" i="3"/>
  <c r="M23" i="3"/>
  <c r="M22" i="3"/>
  <c r="L23" i="3"/>
  <c r="P23" i="3" s="1"/>
  <c r="M2" i="3"/>
  <c r="P32" i="3" l="1"/>
  <c r="P43" i="3"/>
  <c r="P42" i="3"/>
  <c r="P22" i="3"/>
  <c r="P33" i="3"/>
  <c r="Q42" i="3"/>
  <c r="R42" i="3"/>
  <c r="Q43" i="3"/>
  <c r="R43" i="3"/>
  <c r="Q33" i="3"/>
  <c r="R33" i="3"/>
  <c r="R32" i="3"/>
  <c r="Q32" i="3"/>
  <c r="P2" i="3"/>
  <c r="Q2" i="3"/>
  <c r="R2" i="3"/>
  <c r="Q23" i="3"/>
  <c r="R23" i="3"/>
  <c r="Q22" i="3"/>
  <c r="R22" i="3"/>
  <c r="G2" i="8" l="1"/>
  <c r="C2" i="8"/>
  <c r="B19" i="1"/>
  <c r="M13" i="3"/>
  <c r="P13" i="3" s="1"/>
  <c r="M12" i="3"/>
  <c r="P12" i="3" s="1"/>
  <c r="M3" i="3"/>
  <c r="P3" i="3" s="1"/>
  <c r="B20" i="1"/>
  <c r="H45" i="11" l="1"/>
  <c r="H34" i="11"/>
  <c r="H20" i="11"/>
  <c r="H46" i="11"/>
  <c r="H60" i="11"/>
  <c r="H42" i="11"/>
  <c r="H71" i="11"/>
  <c r="H83" i="11"/>
  <c r="H8" i="11"/>
  <c r="H79" i="11"/>
  <c r="H63" i="11"/>
  <c r="H68" i="11"/>
  <c r="H69" i="11"/>
  <c r="H62" i="11"/>
  <c r="H48" i="11"/>
  <c r="H65" i="11"/>
  <c r="H61" i="11"/>
  <c r="H43" i="11"/>
  <c r="H9" i="11"/>
  <c r="H55" i="11"/>
  <c r="H85" i="11"/>
  <c r="H51" i="11"/>
  <c r="H36" i="11"/>
  <c r="H75" i="11"/>
  <c r="H17" i="11"/>
  <c r="H6" i="11"/>
  <c r="H84" i="11"/>
  <c r="H72" i="11"/>
  <c r="H25" i="11"/>
  <c r="H33" i="11"/>
  <c r="H81" i="11"/>
  <c r="H50" i="11"/>
  <c r="H67" i="11"/>
  <c r="H12" i="11"/>
  <c r="H77" i="11"/>
  <c r="H58" i="11"/>
  <c r="H16" i="11"/>
  <c r="H7" i="11"/>
  <c r="H24" i="11"/>
  <c r="H15" i="11"/>
  <c r="H76" i="11"/>
  <c r="H59" i="11"/>
  <c r="H82" i="11"/>
  <c r="H22" i="11"/>
  <c r="H37" i="11"/>
  <c r="H49" i="11"/>
  <c r="H53" i="11"/>
  <c r="H73" i="11"/>
  <c r="H21" i="11"/>
  <c r="H30" i="11"/>
  <c r="H19" i="11"/>
  <c r="H38" i="11"/>
  <c r="H80" i="11"/>
  <c r="H27" i="11"/>
  <c r="H5" i="11"/>
  <c r="H29" i="11"/>
  <c r="H66" i="11"/>
  <c r="H13" i="11"/>
  <c r="H28" i="11"/>
  <c r="H10" i="11"/>
  <c r="H74" i="11"/>
  <c r="H32" i="11"/>
  <c r="H39" i="11"/>
  <c r="H40" i="11"/>
  <c r="H31" i="11"/>
  <c r="H86" i="11"/>
  <c r="H41" i="11"/>
  <c r="H56" i="11"/>
  <c r="H70" i="11"/>
  <c r="H64" i="11"/>
  <c r="H11" i="11"/>
  <c r="H35" i="11"/>
  <c r="H18" i="11"/>
  <c r="H78" i="11"/>
  <c r="H14" i="11"/>
  <c r="H44" i="11"/>
  <c r="H26" i="11"/>
  <c r="H52" i="11"/>
  <c r="H57" i="11"/>
  <c r="H47" i="11"/>
  <c r="H23" i="11"/>
  <c r="H54" i="11"/>
  <c r="C5" i="8"/>
  <c r="B17" i="1"/>
  <c r="B5" i="8"/>
  <c r="D5" i="8"/>
  <c r="R3" i="3"/>
  <c r="E2" i="8" s="1"/>
  <c r="Q3" i="3"/>
  <c r="D2" i="8" s="1"/>
  <c r="Q12" i="3"/>
  <c r="R12" i="3"/>
  <c r="R13" i="3"/>
  <c r="Q13" i="3"/>
  <c r="J16" i="11" l="1"/>
  <c r="J15" i="11"/>
  <c r="D15" i="8" s="1"/>
  <c r="K15" i="8" s="1"/>
  <c r="I15" i="11"/>
  <c r="C15" i="8" s="1"/>
  <c r="J15" i="8" s="1"/>
  <c r="I16" i="11"/>
  <c r="I54" i="11"/>
  <c r="J54" i="11"/>
  <c r="J53" i="11"/>
  <c r="D34" i="8" s="1"/>
  <c r="K34" i="8" s="1"/>
  <c r="I53" i="11"/>
  <c r="C34" i="8" s="1"/>
  <c r="J34" i="8" s="1"/>
  <c r="J50" i="11"/>
  <c r="I49" i="11"/>
  <c r="C32" i="8" s="1"/>
  <c r="J32" i="8" s="1"/>
  <c r="J49" i="11"/>
  <c r="D32" i="8" s="1"/>
  <c r="K32" i="8" s="1"/>
  <c r="I50" i="11"/>
  <c r="I51" i="11"/>
  <c r="C33" i="8" s="1"/>
  <c r="J33" i="8" s="1"/>
  <c r="J52" i="11"/>
  <c r="J51" i="11"/>
  <c r="D33" i="8" s="1"/>
  <c r="K33" i="8" s="1"/>
  <c r="I52" i="11"/>
  <c r="J38" i="11"/>
  <c r="I38" i="11"/>
  <c r="I37" i="11"/>
  <c r="C26" i="8" s="1"/>
  <c r="J26" i="8" s="1"/>
  <c r="J37" i="11"/>
  <c r="D26" i="8" s="1"/>
  <c r="K26" i="8" s="1"/>
  <c r="I27" i="11"/>
  <c r="C21" i="8" s="1"/>
  <c r="J21" i="8" s="1"/>
  <c r="J28" i="11"/>
  <c r="I28" i="11"/>
  <c r="J27" i="11"/>
  <c r="D21" i="8" s="1"/>
  <c r="K21" i="8" s="1"/>
  <c r="J84" i="11"/>
  <c r="I83" i="11"/>
  <c r="C49" i="8" s="1"/>
  <c r="J49" i="8" s="1"/>
  <c r="I84" i="11"/>
  <c r="K83" i="11"/>
  <c r="J83" i="11"/>
  <c r="D49" i="8" s="1"/>
  <c r="K49" i="8" s="1"/>
  <c r="L83" i="11"/>
  <c r="I34" i="11"/>
  <c r="J33" i="11"/>
  <c r="D24" i="8" s="1"/>
  <c r="K24" i="8" s="1"/>
  <c r="J34" i="11"/>
  <c r="I33" i="11"/>
  <c r="C24" i="8" s="1"/>
  <c r="J24" i="8" s="1"/>
  <c r="I86" i="11"/>
  <c r="J85" i="11"/>
  <c r="D50" i="8" s="1"/>
  <c r="J86" i="11"/>
  <c r="I85" i="11"/>
  <c r="C50" i="8" s="1"/>
  <c r="K85" i="11"/>
  <c r="L85" i="11"/>
  <c r="I13" i="11"/>
  <c r="C14" i="8" s="1"/>
  <c r="J14" i="8" s="1"/>
  <c r="I14" i="11"/>
  <c r="J13" i="11"/>
  <c r="D14" i="8" s="1"/>
  <c r="K14" i="8" s="1"/>
  <c r="J14" i="11"/>
  <c r="J20" i="11"/>
  <c r="J19" i="11"/>
  <c r="D17" i="8" s="1"/>
  <c r="K17" i="8" s="1"/>
  <c r="I20" i="11"/>
  <c r="I19" i="11"/>
  <c r="C17" i="8" s="1"/>
  <c r="J17" i="8" s="1"/>
  <c r="J55" i="11"/>
  <c r="D35" i="8" s="1"/>
  <c r="K35" i="8" s="1"/>
  <c r="J56" i="11"/>
  <c r="I56" i="11"/>
  <c r="I55" i="11"/>
  <c r="C35" i="8" s="1"/>
  <c r="J35" i="8" s="1"/>
  <c r="J73" i="11"/>
  <c r="D44" i="8" s="1"/>
  <c r="K44" i="8" s="1"/>
  <c r="J74" i="11"/>
  <c r="I74" i="11"/>
  <c r="I73" i="11"/>
  <c r="C44" i="8" s="1"/>
  <c r="J44" i="8" s="1"/>
  <c r="L73" i="11"/>
  <c r="K73" i="11"/>
  <c r="I76" i="11"/>
  <c r="J76" i="11"/>
  <c r="I75" i="11"/>
  <c r="C45" i="8" s="1"/>
  <c r="J45" i="8" s="1"/>
  <c r="J75" i="11"/>
  <c r="D45" i="8" s="1"/>
  <c r="K45" i="8" s="1"/>
  <c r="K75" i="11"/>
  <c r="L75" i="11"/>
  <c r="I82" i="11"/>
  <c r="I81" i="11"/>
  <c r="C48" i="8" s="1"/>
  <c r="J48" i="8" s="1"/>
  <c r="J82" i="11"/>
  <c r="J81" i="11"/>
  <c r="D48" i="8" s="1"/>
  <c r="K48" i="8" s="1"/>
  <c r="L81" i="11"/>
  <c r="K81" i="11"/>
  <c r="I7" i="11"/>
  <c r="C11" i="8" s="1"/>
  <c r="J11" i="8" s="1"/>
  <c r="J8" i="11"/>
  <c r="J7" i="11"/>
  <c r="D11" i="8" s="1"/>
  <c r="K11" i="8" s="1"/>
  <c r="I8" i="11"/>
  <c r="J26" i="11"/>
  <c r="I25" i="11"/>
  <c r="C20" i="8" s="1"/>
  <c r="J20" i="8" s="1"/>
  <c r="J25" i="11"/>
  <c r="D20" i="8" s="1"/>
  <c r="K20" i="8" s="1"/>
  <c r="I26" i="11"/>
  <c r="J31" i="11"/>
  <c r="D23" i="8" s="1"/>
  <c r="K23" i="8" s="1"/>
  <c r="I31" i="11"/>
  <c r="C23" i="8" s="1"/>
  <c r="J23" i="8" s="1"/>
  <c r="J32" i="11"/>
  <c r="I32" i="11"/>
  <c r="J78" i="11"/>
  <c r="I78" i="11"/>
  <c r="J77" i="11"/>
  <c r="D46" i="8" s="1"/>
  <c r="K46" i="8" s="1"/>
  <c r="I77" i="11"/>
  <c r="C46" i="8" s="1"/>
  <c r="J46" i="8" s="1"/>
  <c r="L77" i="11"/>
  <c r="K77" i="11"/>
  <c r="I10" i="11"/>
  <c r="J10" i="11"/>
  <c r="J9" i="11"/>
  <c r="D12" i="8" s="1"/>
  <c r="K12" i="8" s="1"/>
  <c r="I9" i="11"/>
  <c r="C12" i="8" s="1"/>
  <c r="J12" i="8" s="1"/>
  <c r="J63" i="11"/>
  <c r="D39" i="8" s="1"/>
  <c r="K39" i="8" s="1"/>
  <c r="I63" i="11"/>
  <c r="C39" i="8" s="1"/>
  <c r="J39" i="8" s="1"/>
  <c r="I64" i="11"/>
  <c r="J64" i="11"/>
  <c r="I66" i="11"/>
  <c r="J65" i="11"/>
  <c r="D40" i="8" s="1"/>
  <c r="K40" i="8" s="1"/>
  <c r="J66" i="11"/>
  <c r="I65" i="11"/>
  <c r="C40" i="8" s="1"/>
  <c r="J40" i="8" s="1"/>
  <c r="J23" i="11"/>
  <c r="D19" i="8" s="1"/>
  <c r="K19" i="8" s="1"/>
  <c r="I23" i="11"/>
  <c r="C19" i="8" s="1"/>
  <c r="J19" i="8" s="1"/>
  <c r="J24" i="11"/>
  <c r="I24" i="11"/>
  <c r="I47" i="11"/>
  <c r="C31" i="8" s="1"/>
  <c r="J31" i="8" s="1"/>
  <c r="J47" i="11"/>
  <c r="D31" i="8" s="1"/>
  <c r="K31" i="8" s="1"/>
  <c r="J48" i="11"/>
  <c r="I48" i="11"/>
  <c r="I35" i="11"/>
  <c r="C25" i="8" s="1"/>
  <c r="J25" i="8" s="1"/>
  <c r="I36" i="11"/>
  <c r="J35" i="11"/>
  <c r="D25" i="8" s="1"/>
  <c r="K25" i="8" s="1"/>
  <c r="J36" i="11"/>
  <c r="J29" i="11"/>
  <c r="D22" i="8" s="1"/>
  <c r="K22" i="8" s="1"/>
  <c r="J30" i="11"/>
  <c r="I29" i="11"/>
  <c r="C22" i="8" s="1"/>
  <c r="J22" i="8" s="1"/>
  <c r="I30" i="11"/>
  <c r="I3" i="11"/>
  <c r="C9" i="8" s="1"/>
  <c r="J9" i="8" s="1"/>
  <c r="I4" i="11"/>
  <c r="J4" i="11"/>
  <c r="J3" i="11"/>
  <c r="D9" i="8" s="1"/>
  <c r="K9" i="8" s="1"/>
  <c r="I59" i="11"/>
  <c r="C37" i="8" s="1"/>
  <c r="J37" i="8" s="1"/>
  <c r="I60" i="11"/>
  <c r="J59" i="11"/>
  <c r="D37" i="8" s="1"/>
  <c r="K37" i="8" s="1"/>
  <c r="J60" i="11"/>
  <c r="I43" i="11"/>
  <c r="C29" i="8" s="1"/>
  <c r="J29" i="8" s="1"/>
  <c r="J43" i="11"/>
  <c r="D29" i="8" s="1"/>
  <c r="K29" i="8" s="1"/>
  <c r="I44" i="11"/>
  <c r="J44" i="11"/>
  <c r="K79" i="11"/>
  <c r="L79" i="11"/>
  <c r="J80" i="11"/>
  <c r="I79" i="11"/>
  <c r="C47" i="8" s="1"/>
  <c r="J47" i="8" s="1"/>
  <c r="I80" i="11"/>
  <c r="J79" i="11"/>
  <c r="D47" i="8" s="1"/>
  <c r="K47" i="8" s="1"/>
  <c r="K71" i="11"/>
  <c r="I72" i="11"/>
  <c r="I71" i="11"/>
  <c r="C43" i="8" s="1"/>
  <c r="J43" i="8" s="1"/>
  <c r="J72" i="11"/>
  <c r="J71" i="11"/>
  <c r="D43" i="8" s="1"/>
  <c r="K43" i="8" s="1"/>
  <c r="L71" i="11"/>
  <c r="I41" i="11"/>
  <c r="C28" i="8" s="1"/>
  <c r="J28" i="8" s="1"/>
  <c r="J42" i="11"/>
  <c r="I42" i="11"/>
  <c r="J41" i="11"/>
  <c r="D28" i="8" s="1"/>
  <c r="K28" i="8" s="1"/>
  <c r="J69" i="11"/>
  <c r="D42" i="8" s="1"/>
  <c r="K42" i="8" s="1"/>
  <c r="I70" i="11"/>
  <c r="J70" i="11"/>
  <c r="I69" i="11"/>
  <c r="C42" i="8" s="1"/>
  <c r="J42" i="8" s="1"/>
  <c r="L69" i="11"/>
  <c r="K69" i="11"/>
  <c r="I57" i="11"/>
  <c r="C36" i="8" s="1"/>
  <c r="J36" i="8" s="1"/>
  <c r="J57" i="11"/>
  <c r="D36" i="8" s="1"/>
  <c r="K36" i="8" s="1"/>
  <c r="J58" i="11"/>
  <c r="I58" i="11"/>
  <c r="J11" i="11"/>
  <c r="D13" i="8" s="1"/>
  <c r="K13" i="8" s="1"/>
  <c r="I11" i="11"/>
  <c r="C13" i="8" s="1"/>
  <c r="J13" i="8" s="1"/>
  <c r="I12" i="11"/>
  <c r="J12" i="11"/>
  <c r="J39" i="11"/>
  <c r="D27" i="8" s="1"/>
  <c r="K27" i="8" s="1"/>
  <c r="I40" i="11"/>
  <c r="J40" i="11"/>
  <c r="I39" i="11"/>
  <c r="C27" i="8" s="1"/>
  <c r="J27" i="8" s="1"/>
  <c r="J6" i="11"/>
  <c r="I6" i="11"/>
  <c r="J5" i="11"/>
  <c r="D10" i="8" s="1"/>
  <c r="K10" i="8" s="1"/>
  <c r="I5" i="11"/>
  <c r="C10" i="8" s="1"/>
  <c r="J10" i="8" s="1"/>
  <c r="I22" i="11"/>
  <c r="J21" i="11"/>
  <c r="D18" i="8" s="1"/>
  <c r="K18" i="8" s="1"/>
  <c r="J22" i="11"/>
  <c r="I21" i="11"/>
  <c r="C18" i="8" s="1"/>
  <c r="J18" i="8" s="1"/>
  <c r="J68" i="11"/>
  <c r="I68" i="11"/>
  <c r="I67" i="11"/>
  <c r="C41" i="8" s="1"/>
  <c r="J41" i="8" s="1"/>
  <c r="J67" i="11"/>
  <c r="D41" i="8" s="1"/>
  <c r="K41" i="8" s="1"/>
  <c r="L67" i="11"/>
  <c r="K67" i="11"/>
  <c r="J18" i="11"/>
  <c r="I17" i="11"/>
  <c r="C16" i="8" s="1"/>
  <c r="J16" i="8" s="1"/>
  <c r="I18" i="11"/>
  <c r="J17" i="11"/>
  <c r="D16" i="8" s="1"/>
  <c r="K16" i="8" s="1"/>
  <c r="I61" i="11"/>
  <c r="C38" i="8" s="1"/>
  <c r="J38" i="8" s="1"/>
  <c r="I62" i="11"/>
  <c r="J61" i="11"/>
  <c r="D38" i="8" s="1"/>
  <c r="K38" i="8" s="1"/>
  <c r="J62" i="11"/>
  <c r="J46" i="11"/>
  <c r="I45" i="11"/>
  <c r="C30" i="8" s="1"/>
  <c r="J30" i="8" s="1"/>
  <c r="I46" i="11"/>
  <c r="J45" i="11"/>
  <c r="D30" i="8" s="1"/>
  <c r="K30" i="8" s="1"/>
  <c r="K47" i="11"/>
  <c r="L47" i="11"/>
  <c r="K63" i="11"/>
  <c r="L63" i="11"/>
  <c r="K7" i="11"/>
  <c r="L7" i="11"/>
  <c r="K59" i="11"/>
  <c r="L59" i="11"/>
  <c r="K49" i="11"/>
  <c r="L49" i="11"/>
  <c r="K65" i="11"/>
  <c r="L65" i="11"/>
  <c r="K9" i="11"/>
  <c r="L9" i="11"/>
  <c r="K31" i="11"/>
  <c r="L31" i="11"/>
  <c r="K17" i="11"/>
  <c r="L17" i="11"/>
  <c r="L21" i="11"/>
  <c r="K21" i="11"/>
  <c r="L53" i="11"/>
  <c r="K53" i="11"/>
  <c r="K35" i="11"/>
  <c r="L35" i="11"/>
  <c r="L61" i="11"/>
  <c r="K61" i="11"/>
  <c r="K19" i="11"/>
  <c r="L19" i="11"/>
  <c r="K27" i="11"/>
  <c r="L27" i="11"/>
  <c r="L45" i="11"/>
  <c r="K45" i="11"/>
  <c r="K55" i="11"/>
  <c r="L55" i="11"/>
  <c r="L29" i="11"/>
  <c r="K29" i="11"/>
  <c r="L13" i="11"/>
  <c r="K13" i="11"/>
  <c r="K41" i="11"/>
  <c r="L41" i="11"/>
  <c r="K51" i="11"/>
  <c r="L51" i="11"/>
  <c r="K25" i="11"/>
  <c r="L25" i="11"/>
  <c r="K15" i="11"/>
  <c r="L15" i="11"/>
  <c r="L3" i="11"/>
  <c r="K43" i="11"/>
  <c r="L43" i="11"/>
  <c r="K39" i="11"/>
  <c r="L39" i="11"/>
  <c r="K11" i="11"/>
  <c r="L11" i="11"/>
  <c r="K37" i="11"/>
  <c r="L37" i="11"/>
  <c r="L5" i="11"/>
  <c r="K5" i="11"/>
  <c r="K33" i="11"/>
  <c r="L33" i="11"/>
  <c r="K57" i="11"/>
  <c r="L57" i="11"/>
  <c r="K23" i="11"/>
  <c r="L23" i="11"/>
  <c r="E5" i="8"/>
  <c r="M67" i="11" l="1"/>
  <c r="M75" i="11"/>
  <c r="M85" i="11"/>
  <c r="M83" i="11"/>
  <c r="M73" i="11"/>
  <c r="M81" i="11"/>
  <c r="M77" i="11"/>
  <c r="M71" i="11"/>
  <c r="M69" i="11"/>
  <c r="M79" i="11"/>
  <c r="M3" i="11"/>
  <c r="M39" i="11"/>
  <c r="M23" i="11"/>
  <c r="M15" i="11"/>
  <c r="M7" i="11"/>
  <c r="M25" i="11"/>
  <c r="M9" i="11"/>
  <c r="M17" i="11"/>
  <c r="M31" i="11"/>
  <c r="M65" i="11"/>
  <c r="M49" i="11"/>
  <c r="M45" i="11"/>
  <c r="M51" i="11"/>
  <c r="M19" i="11"/>
  <c r="M37" i="11"/>
  <c r="M35" i="11"/>
  <c r="M13" i="11"/>
  <c r="M21" i="11"/>
  <c r="M63" i="11"/>
  <c r="M57" i="11"/>
  <c r="M29" i="11"/>
  <c r="M43" i="11"/>
  <c r="M55" i="11"/>
  <c r="M33" i="11"/>
  <c r="M61" i="11"/>
  <c r="M47" i="11"/>
  <c r="M11" i="11"/>
  <c r="M53" i="11"/>
  <c r="M5" i="11"/>
  <c r="M59" i="11"/>
  <c r="M41" i="11"/>
  <c r="M27" i="11"/>
  <c r="N3" i="11" l="1"/>
  <c r="I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<sst xmlns="http://schemas.openxmlformats.org/spreadsheetml/2006/main" count="887" uniqueCount="103">
  <si>
    <t>Well</t>
  </si>
  <si>
    <t>Fluor</t>
  </si>
  <si>
    <t>Target</t>
  </si>
  <si>
    <t>Content</t>
  </si>
  <si>
    <t>Ct Machine</t>
  </si>
  <si>
    <t>Ct Mean Machine</t>
  </si>
  <si>
    <t>Ct Std. Dev Machine</t>
  </si>
  <si>
    <t>Starting Quantity (SQ) CPR Machine</t>
  </si>
  <si>
    <t>Log Starting Quantity Machine</t>
  </si>
  <si>
    <t>Run File</t>
  </si>
  <si>
    <t>FAM</t>
  </si>
  <si>
    <t>NA026</t>
  </si>
  <si>
    <t>NA015</t>
  </si>
  <si>
    <t>NA014</t>
  </si>
  <si>
    <t>NA013</t>
  </si>
  <si>
    <t>NA012</t>
  </si>
  <si>
    <t>Std Curve Metrics</t>
  </si>
  <si>
    <t>% Efficiency</t>
  </si>
  <si>
    <t>Slope</t>
  </si>
  <si>
    <t>y-intercept</t>
  </si>
  <si>
    <t>Assay</t>
  </si>
  <si>
    <t>Phytoxigene Total Cyano</t>
  </si>
  <si>
    <t>Criteria</t>
  </si>
  <si>
    <t>Values</t>
  </si>
  <si>
    <t>90&lt;%Efficiency&lt;110</t>
  </si>
  <si>
    <t>r^2</t>
  </si>
  <si>
    <t>Ct Average (All Runs)</t>
  </si>
  <si>
    <t>Ct Std. Dev Machine (All Runs)</t>
  </si>
  <si>
    <t>tau</t>
  </si>
  <si>
    <t>n</t>
  </si>
  <si>
    <t>Test 2</t>
  </si>
  <si>
    <t>Test 1</t>
  </si>
  <si>
    <t>Test 3</t>
  </si>
  <si>
    <t>Test 4</t>
  </si>
  <si>
    <t>ONLY</t>
  </si>
  <si>
    <t>Sample ID</t>
  </si>
  <si>
    <t>Sample Name</t>
  </si>
  <si>
    <t>DNA ID</t>
  </si>
  <si>
    <t>Date Extracted</t>
  </si>
  <si>
    <t>Volume Filtered</t>
  </si>
  <si>
    <t>Volume Eluted</t>
  </si>
  <si>
    <t>Volume Template</t>
  </si>
  <si>
    <t>Test1</t>
  </si>
  <si>
    <t>Test2</t>
  </si>
  <si>
    <t>Test3</t>
  </si>
  <si>
    <t>Test4</t>
  </si>
  <si>
    <t>Test5</t>
  </si>
  <si>
    <t>Test6</t>
  </si>
  <si>
    <t>Test7</t>
  </si>
  <si>
    <t>RUN 1</t>
  </si>
  <si>
    <t>RUN 2</t>
  </si>
  <si>
    <t>RUN 3</t>
  </si>
  <si>
    <t>Ct 1st run</t>
  </si>
  <si>
    <t>Ct 2nd run</t>
  </si>
  <si>
    <t>Ct 3rd run</t>
  </si>
  <si>
    <t>RSD</t>
  </si>
  <si>
    <t>Ct Data File Name</t>
  </si>
  <si>
    <t>Well Position</t>
  </si>
  <si>
    <t>Target Name</t>
  </si>
  <si>
    <t>Reporter</t>
  </si>
  <si>
    <t>Dilution</t>
  </si>
  <si>
    <t>Raw Results</t>
  </si>
  <si>
    <t>Assay Calculate Copies Per Reaction (CPR) - Without Dilution Factor</t>
  </si>
  <si>
    <t>Average CPR</t>
  </si>
  <si>
    <t>STDEV CPR</t>
  </si>
  <si>
    <t>Test 5</t>
  </si>
  <si>
    <t>Test 6</t>
  </si>
  <si>
    <t>CALFL-ORNG</t>
  </si>
  <si>
    <t>IAC</t>
  </si>
  <si>
    <t>Dilution Factor</t>
  </si>
  <si>
    <t>Test Results</t>
  </si>
  <si>
    <t>Std. Curve Metrics</t>
  </si>
  <si>
    <t>R-squared</t>
  </si>
  <si>
    <t>Y-Intercept</t>
  </si>
  <si>
    <t>Efficiency</t>
  </si>
  <si>
    <t>Project</t>
  </si>
  <si>
    <t>Date Sample Taken</t>
  </si>
  <si>
    <t>Time Sample Taken</t>
  </si>
  <si>
    <t>Select with "X"</t>
  </si>
  <si>
    <t>X</t>
  </si>
  <si>
    <t>Copies Per Reaction</t>
  </si>
  <si>
    <t>Sample Value</t>
  </si>
  <si>
    <t>Sample Stdev</t>
  </si>
  <si>
    <t>Units</t>
  </si>
  <si>
    <t>copies/mL</t>
  </si>
  <si>
    <t>Mean CPR</t>
  </si>
  <si>
    <t>Average CPR for Results</t>
  </si>
  <si>
    <t>CPR_Stdev</t>
  </si>
  <si>
    <t>Stdev CPR for Results</t>
  </si>
  <si>
    <t>Ct Mean (NTC of Run)</t>
  </si>
  <si>
    <t>Ct -  Ct Mean (NTC of Run)</t>
  </si>
  <si>
    <t>Volume Filtered (mL)</t>
  </si>
  <si>
    <t>Elution Volume (uL)</t>
  </si>
  <si>
    <t>Template Volume (uL)</t>
  </si>
  <si>
    <t>Test8</t>
  </si>
  <si>
    <t>Test 7</t>
  </si>
  <si>
    <t xml:space="preserve">Test 8 </t>
  </si>
  <si>
    <t>Test 9</t>
  </si>
  <si>
    <t>Test9</t>
  </si>
  <si>
    <t>Test10</t>
  </si>
  <si>
    <t>Test11</t>
  </si>
  <si>
    <t>Test 10</t>
  </si>
  <si>
    <t xml:space="preserve">Test 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</si>
</sst>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"/>
    <numFmt numFmtId="166" formatCode="#,##0.000"/>
    <numFmt numFmtId="167" formatCode="0.0"/>
    <numFmt numFmtId="168" formatCode="###0.00000;\-###0.00000"/>
    <numFmt numFmtId="169" formatCode="###0;\-###0"/>
    <numFmt numFmtId="170" formatCode="#,##0.0"/>
  </numFmts>
  <fonts count="2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8"/>
      <name val="Calibri"/>
      <family val="2"/>
      <scheme val="minor"/>
    </font>
    <font>
      <sz val="8.25"/>
      <name val="Microsoft Sans Serif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Microsoft Sans Serif"/>
      <family val="2"/>
    </font>
    <font>
      <sz val="10"/>
      <color theme="1" tint="0.499984740745262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</font>
    <font>
      <sz val="12"/>
      <name val="Calibri"/>
      <family val="2"/>
    </font>
    <font>
      <sz val="12"/>
      <name val="Calibri (Body)"/>
    </font>
    <font>
      <sz val="12"/>
      <color theme="1"/>
      <name val="Calibri (Body)"/>
    </font>
    <font>
      <sz val="12"/>
      <color theme="1"/>
      <name val="Calibri"/>
      <family val="2"/>
    </font>
    <font>
      <b/>
      <sz val="12"/>
      <name val="Calibri (Body)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202124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6D7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FA9D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A8D5D6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0" fontId="9" fillId="0" borderId="0">
      <alignment vertical="top"/>
      <protection locked="0"/>
    </xf>
    <xf numFmtId="0" fontId="10" fillId="0" borderId="0"/>
  </cellStyleXfs>
  <cellXfs count="19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2" xfId="0" applyFont="1" applyBorder="1"/>
    <xf numFmtId="164" fontId="0" fillId="0" borderId="8" xfId="0" applyNumberFormat="1" applyBorder="1"/>
    <xf numFmtId="165" fontId="0" fillId="0" borderId="8" xfId="0" applyNumberFormat="1" applyBorder="1"/>
    <xf numFmtId="2" fontId="0" fillId="0" borderId="14" xfId="0" applyNumberFormat="1" applyBorder="1"/>
    <xf numFmtId="164" fontId="0" fillId="0" borderId="15" xfId="0" applyNumberFormat="1" applyBorder="1"/>
    <xf numFmtId="0" fontId="5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166" fontId="0" fillId="0" borderId="0" xfId="0" applyNumberForma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 applyProtection="1">
      <alignment horizontal="center" wrapText="1"/>
      <protection locked="0"/>
    </xf>
    <xf numFmtId="2" fontId="0" fillId="0" borderId="16" xfId="0" applyNumberFormat="1" applyBorder="1"/>
    <xf numFmtId="2" fontId="0" fillId="0" borderId="2" xfId="0" applyNumberFormat="1" applyBorder="1"/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2" fontId="0" fillId="0" borderId="4" xfId="0" applyNumberFormat="1" applyBorder="1"/>
    <xf numFmtId="2" fontId="0" fillId="0" borderId="13" xfId="0" applyNumberFormat="1" applyBorder="1"/>
    <xf numFmtId="2" fontId="0" fillId="0" borderId="6" xfId="0" applyNumberFormat="1" applyBorder="1"/>
    <xf numFmtId="0" fontId="0" fillId="0" borderId="0" xfId="0" applyAlignment="1">
      <alignment horizontal="left" vertical="center"/>
    </xf>
    <xf numFmtId="0" fontId="0" fillId="3" borderId="20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2" fontId="13" fillId="7" borderId="27" xfId="0" applyNumberFormat="1" applyFont="1" applyFill="1" applyBorder="1" applyAlignment="1">
      <alignment horizontal="center" vertical="center"/>
    </xf>
    <xf numFmtId="0" fontId="14" fillId="14" borderId="23" xfId="3" applyFont="1" applyFill="1" applyBorder="1" applyAlignment="1">
      <alignment horizontal="center" vertical="center"/>
      <protection locked="0"/>
    </xf>
    <xf numFmtId="0" fontId="14" fillId="0" borderId="0" xfId="0" applyFont="1"/>
    <xf numFmtId="0" fontId="0" fillId="0" borderId="13" xfId="0" applyBorder="1"/>
    <xf numFmtId="49" fontId="14" fillId="0" borderId="0" xfId="4" applyNumberFormat="1" applyFont="1" applyAlignment="1">
      <alignment horizontal="center" vertical="center"/>
    </xf>
    <xf numFmtId="168" fontId="14" fillId="0" borderId="4" xfId="4" applyNumberFormat="1" applyFont="1" applyBorder="1" applyAlignment="1">
      <alignment horizontal="center"/>
    </xf>
    <xf numFmtId="168" fontId="14" fillId="0" borderId="4" xfId="0" applyNumberFormat="1" applyFont="1" applyBorder="1" applyAlignment="1">
      <alignment horizontal="center"/>
    </xf>
    <xf numFmtId="49" fontId="14" fillId="0" borderId="13" xfId="4" applyNumberFormat="1" applyFont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14" fillId="14" borderId="0" xfId="3" applyFont="1" applyFill="1" applyAlignment="1">
      <alignment horizontal="center" vertical="center"/>
      <protection locked="0"/>
    </xf>
    <xf numFmtId="0" fontId="15" fillId="2" borderId="11" xfId="0" applyFont="1" applyFill="1" applyBorder="1" applyAlignment="1">
      <alignment horizontal="center" vertical="center"/>
    </xf>
    <xf numFmtId="0" fontId="14" fillId="14" borderId="4" xfId="3" applyFont="1" applyFill="1" applyBorder="1" applyAlignment="1">
      <alignment horizontal="center" vertical="center"/>
      <protection locked="0"/>
    </xf>
    <xf numFmtId="2" fontId="13" fillId="7" borderId="26" xfId="0" applyNumberFormat="1" applyFont="1" applyFill="1" applyBorder="1" applyAlignment="1">
      <alignment horizontal="center" vertical="center"/>
    </xf>
    <xf numFmtId="0" fontId="12" fillId="12" borderId="23" xfId="4" applyFont="1" applyFill="1" applyBorder="1" applyAlignment="1" applyProtection="1">
      <alignment horizontal="center" vertical="center" wrapText="1"/>
      <protection locked="0"/>
    </xf>
    <xf numFmtId="0" fontId="11" fillId="9" borderId="23" xfId="0" applyFont="1" applyFill="1" applyBorder="1" applyAlignment="1">
      <alignment horizontal="center" vertical="center"/>
    </xf>
    <xf numFmtId="0" fontId="12" fillId="10" borderId="23" xfId="4" applyFont="1" applyFill="1" applyBorder="1" applyAlignment="1" applyProtection="1">
      <alignment horizontal="center" vertical="center" wrapText="1"/>
      <protection locked="0"/>
    </xf>
    <xf numFmtId="1" fontId="0" fillId="0" borderId="0" xfId="0" applyNumberFormat="1"/>
    <xf numFmtId="0" fontId="2" fillId="0" borderId="35" xfId="0" applyFont="1" applyBorder="1"/>
    <xf numFmtId="0" fontId="2" fillId="0" borderId="31" xfId="0" applyFont="1" applyBorder="1"/>
    <xf numFmtId="0" fontId="0" fillId="0" borderId="33" xfId="0" applyBorder="1"/>
    <xf numFmtId="0" fontId="0" fillId="0" borderId="8" xfId="0" applyBorder="1"/>
    <xf numFmtId="0" fontId="0" fillId="0" borderId="0" xfId="0" applyAlignment="1">
      <alignment horizontal="center"/>
    </xf>
    <xf numFmtId="168" fontId="14" fillId="0" borderId="0" xfId="4" applyNumberFormat="1" applyFont="1" applyAlignment="1">
      <alignment horizontal="center"/>
    </xf>
    <xf numFmtId="0" fontId="18" fillId="0" borderId="0" xfId="0" applyFont="1"/>
    <xf numFmtId="0" fontId="21" fillId="0" borderId="0" xfId="0" applyFont="1"/>
    <xf numFmtId="2" fontId="21" fillId="0" borderId="0" xfId="0" applyNumberFormat="1" applyFont="1"/>
    <xf numFmtId="0" fontId="15" fillId="14" borderId="24" xfId="3" applyFont="1" applyFill="1" applyBorder="1" applyAlignment="1">
      <alignment horizontal="center" vertical="center"/>
      <protection locked="0"/>
    </xf>
    <xf numFmtId="0" fontId="10" fillId="0" borderId="0" xfId="0" applyFont="1"/>
    <xf numFmtId="49" fontId="10" fillId="0" borderId="0" xfId="0" applyNumberFormat="1" applyFont="1"/>
    <xf numFmtId="0" fontId="10" fillId="0" borderId="0" xfId="0" applyFont="1" applyAlignment="1">
      <alignment horizontal="center"/>
    </xf>
    <xf numFmtId="166" fontId="10" fillId="0" borderId="0" xfId="0" applyNumberFormat="1" applyFont="1"/>
    <xf numFmtId="169" fontId="10" fillId="0" borderId="0" xfId="0" applyNumberFormat="1" applyFont="1" applyAlignment="1">
      <alignment horizontal="right"/>
    </xf>
    <xf numFmtId="49" fontId="10" fillId="0" borderId="0" xfId="0" applyNumberFormat="1" applyFont="1" applyAlignment="1">
      <alignment vertical="top"/>
    </xf>
    <xf numFmtId="0" fontId="19" fillId="0" borderId="0" xfId="0" applyFont="1"/>
    <xf numFmtId="166" fontId="19" fillId="0" borderId="0" xfId="0" applyNumberFormat="1" applyFont="1"/>
    <xf numFmtId="0" fontId="19" fillId="0" borderId="0" xfId="0" applyFont="1" applyAlignment="1">
      <alignment horizontal="center"/>
    </xf>
    <xf numFmtId="0" fontId="10" fillId="0" borderId="1" xfId="0" applyFont="1" applyBorder="1"/>
    <xf numFmtId="49" fontId="10" fillId="0" borderId="16" xfId="0" applyNumberFormat="1" applyFont="1" applyBorder="1"/>
    <xf numFmtId="0" fontId="10" fillId="0" borderId="16" xfId="0" applyFont="1" applyBorder="1" applyAlignment="1">
      <alignment horizontal="center"/>
    </xf>
    <xf numFmtId="166" fontId="10" fillId="0" borderId="16" xfId="0" applyNumberFormat="1" applyFont="1" applyBorder="1"/>
    <xf numFmtId="169" fontId="10" fillId="0" borderId="16" xfId="0" applyNumberFormat="1" applyFont="1" applyBorder="1" applyAlignment="1">
      <alignment horizontal="right"/>
    </xf>
    <xf numFmtId="49" fontId="10" fillId="0" borderId="16" xfId="0" applyNumberFormat="1" applyFont="1" applyBorder="1" applyAlignment="1">
      <alignment vertical="top"/>
    </xf>
    <xf numFmtId="0" fontId="10" fillId="0" borderId="3" xfId="0" applyFont="1" applyBorder="1"/>
    <xf numFmtId="0" fontId="23" fillId="14" borderId="24" xfId="3" applyFont="1" applyFill="1" applyBorder="1" applyAlignment="1">
      <alignment horizontal="center" vertical="center"/>
      <protection locked="0"/>
    </xf>
    <xf numFmtId="0" fontId="20" fillId="0" borderId="0" xfId="0" applyFont="1"/>
    <xf numFmtId="49" fontId="20" fillId="0" borderId="0" xfId="4" applyNumberFormat="1" applyFont="1" applyAlignment="1">
      <alignment horizontal="center" vertical="center"/>
    </xf>
    <xf numFmtId="166" fontId="20" fillId="0" borderId="0" xfId="0" applyNumberFormat="1" applyFont="1"/>
    <xf numFmtId="166" fontId="21" fillId="0" borderId="0" xfId="0" applyNumberFormat="1" applyFont="1"/>
    <xf numFmtId="0" fontId="21" fillId="0" borderId="0" xfId="0" applyFont="1" applyAlignment="1">
      <alignment horizontal="center" vertical="center"/>
    </xf>
    <xf numFmtId="168" fontId="20" fillId="0" borderId="0" xfId="0" applyNumberFormat="1" applyFont="1" applyAlignment="1">
      <alignment horizontal="left" wrapText="1"/>
    </xf>
    <xf numFmtId="168" fontId="20" fillId="0" borderId="0" xfId="0" applyNumberFormat="1" applyFont="1" applyAlignment="1">
      <alignment horizontal="left" vertical="top"/>
    </xf>
    <xf numFmtId="168" fontId="20" fillId="0" borderId="0" xfId="4" applyNumberFormat="1" applyFont="1" applyAlignment="1">
      <alignment horizontal="center"/>
    </xf>
    <xf numFmtId="168" fontId="19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center"/>
    </xf>
    <xf numFmtId="14" fontId="0" fillId="0" borderId="0" xfId="0" applyNumberFormat="1"/>
    <xf numFmtId="1" fontId="24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14" fontId="14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4" fillId="14" borderId="32" xfId="3" applyFont="1" applyFill="1" applyBorder="1" applyAlignment="1">
      <alignment horizontal="center" vertical="center"/>
      <protection locked="0"/>
    </xf>
    <xf numFmtId="0" fontId="14" fillId="14" borderId="33" xfId="3" applyFont="1" applyFill="1" applyBorder="1" applyAlignment="1">
      <alignment horizontal="center" vertical="center"/>
      <protection locked="0"/>
    </xf>
    <xf numFmtId="0" fontId="0" fillId="0" borderId="4" xfId="0" applyBorder="1"/>
    <xf numFmtId="0" fontId="0" fillId="0" borderId="6" xfId="0" applyBorder="1"/>
    <xf numFmtId="170" fontId="0" fillId="0" borderId="0" xfId="0" applyNumberFormat="1"/>
    <xf numFmtId="170" fontId="0" fillId="0" borderId="13" xfId="0" applyNumberFormat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4" fillId="14" borderId="8" xfId="3" applyFont="1" applyFill="1" applyBorder="1" applyAlignment="1">
      <alignment horizontal="center" vertical="center"/>
      <protection locked="0"/>
    </xf>
    <xf numFmtId="0" fontId="12" fillId="15" borderId="23" xfId="4" applyFont="1" applyFill="1" applyBorder="1" applyAlignment="1" applyProtection="1">
      <alignment horizontal="center" vertical="center" wrapText="1"/>
      <protection locked="0"/>
    </xf>
    <xf numFmtId="1" fontId="0" fillId="0" borderId="3" xfId="0" applyNumberFormat="1" applyBorder="1"/>
    <xf numFmtId="1" fontId="0" fillId="0" borderId="5" xfId="0" applyNumberFormat="1" applyBorder="1"/>
    <xf numFmtId="1" fontId="0" fillId="0" borderId="13" xfId="0" applyNumberFormat="1" applyBorder="1"/>
    <xf numFmtId="0" fontId="27" fillId="0" borderId="0" xfId="0" applyFont="1"/>
    <xf numFmtId="168" fontId="14" fillId="0" borderId="6" xfId="4" applyNumberFormat="1" applyFont="1" applyBorder="1" applyAlignment="1">
      <alignment horizontal="center"/>
    </xf>
    <xf numFmtId="166" fontId="14" fillId="0" borderId="0" xfId="0" applyNumberFormat="1" applyFont="1"/>
    <xf numFmtId="165" fontId="0" fillId="0" borderId="0" xfId="0" applyNumberFormat="1"/>
    <xf numFmtId="0" fontId="19" fillId="15" borderId="23" xfId="0" applyFont="1" applyFill="1" applyBorder="1" applyAlignment="1">
      <alignment horizontal="center" vertical="center" wrapText="1"/>
    </xf>
    <xf numFmtId="0" fontId="22" fillId="15" borderId="38" xfId="0" applyFont="1" applyFill="1" applyBorder="1" applyAlignment="1">
      <alignment horizontal="center" vertical="center"/>
    </xf>
    <xf numFmtId="166" fontId="0" fillId="0" borderId="13" xfId="0" applyNumberFormat="1" applyBorder="1"/>
    <xf numFmtId="0" fontId="14" fillId="14" borderId="16" xfId="3" applyFont="1" applyFill="1" applyBorder="1" applyAlignment="1">
      <alignment horizontal="center" vertical="center"/>
      <protection locked="0"/>
    </xf>
    <xf numFmtId="0" fontId="14" fillId="14" borderId="2" xfId="3" applyFont="1" applyFill="1" applyBorder="1" applyAlignment="1">
      <alignment horizontal="center" vertical="center"/>
      <protection locked="0"/>
    </xf>
    <xf numFmtId="0" fontId="0" fillId="0" borderId="3" xfId="0" applyBorder="1"/>
    <xf numFmtId="2" fontId="0" fillId="0" borderId="0" xfId="0" applyNumberFormat="1" applyAlignment="1">
      <alignment horizontal="left"/>
    </xf>
    <xf numFmtId="0" fontId="0" fillId="0" borderId="5" xfId="0" applyBorder="1"/>
    <xf numFmtId="2" fontId="0" fillId="0" borderId="13" xfId="0" applyNumberFormat="1" applyBorder="1" applyAlignment="1">
      <alignment horizontal="left"/>
    </xf>
    <xf numFmtId="0" fontId="1" fillId="0" borderId="39" xfId="0" applyFont="1" applyBorder="1"/>
    <xf numFmtId="0" fontId="1" fillId="0" borderId="40" xfId="0" applyFont="1" applyBorder="1"/>
    <xf numFmtId="0" fontId="1" fillId="0" borderId="41" xfId="0" applyFont="1" applyBorder="1"/>
    <xf numFmtId="1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0" fontId="16" fillId="11" borderId="31" xfId="0" applyFont="1" applyFill="1" applyBorder="1" applyAlignment="1">
      <alignment horizontal="center" vertical="center"/>
    </xf>
    <xf numFmtId="0" fontId="16" fillId="11" borderId="32" xfId="0" applyFont="1" applyFill="1" applyBorder="1" applyAlignment="1">
      <alignment horizontal="center" vertical="center"/>
    </xf>
    <xf numFmtId="0" fontId="16" fillId="11" borderId="33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16" fillId="11" borderId="24" xfId="0" applyFont="1" applyFill="1" applyBorder="1" applyAlignment="1">
      <alignment horizontal="center" vertical="center"/>
    </xf>
    <xf numFmtId="0" fontId="16" fillId="11" borderId="37" xfId="0" applyFont="1" applyFill="1" applyBorder="1" applyAlignment="1">
      <alignment horizontal="center" vertical="center"/>
    </xf>
    <xf numFmtId="0" fontId="16" fillId="8" borderId="31" xfId="0" applyFont="1" applyFill="1" applyBorder="1" applyAlignment="1">
      <alignment horizontal="center" vertical="center"/>
    </xf>
    <xf numFmtId="0" fontId="16" fillId="8" borderId="32" xfId="0" applyFont="1" applyFill="1" applyBorder="1" applyAlignment="1">
      <alignment horizontal="center" vertical="center"/>
    </xf>
    <xf numFmtId="0" fontId="16" fillId="8" borderId="33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6" fillId="8" borderId="24" xfId="0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6" fillId="11" borderId="28" xfId="0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16" fillId="8" borderId="28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</cellXfs>
  <cellStyles count="5">
    <cellStyle name="Normal" xfId="0" builtinId="0"/>
    <cellStyle name="Normal 2" xfId="4" xr:uid="{D003BCE9-FDB6-684C-BF45-891BFAF34B10}"/>
    <cellStyle name="Normal 3" xfId="2" xr:uid="{57098555-B331-4C4C-9763-72F771D333DD}"/>
    <cellStyle name="Normal 6 2" xfId="3" xr:uid="{49BF76EC-71F4-514D-B15C-3CBEEE5CD603}"/>
    <cellStyle name="Normal 9" xfId="1" xr:uid="{38A0FE82-E7BF-6848-AC22-CD46C4AA5C39}"/>
  </cellStyles>
  <dxfs count="6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A8D5D6"/>
      <color rgb="FFD6D7FF"/>
      <color rgb="FFD7AEFF"/>
      <color rgb="FF8FA9DC"/>
      <color rgb="FFFFD6A9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Master Curve</a:t>
            </a:r>
            <a:endParaRPr lang="en-US"/>
          </a:p>
        </c:rich>
      </c:tx>
      <c:layout>
        <c:manualLayout>
          <c:xMode val="edge"/>
          <c:yMode val="edge"/>
          <c:x val="0.3099790026246719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791422348802144"/>
                  <c:y val="-0.367032796359170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'Standard Curve'!$M$2:$M$100</c:f>
              <c:numCache>
                <c:formatCode>###0;\-###0</c:formatCode>
                <c:ptCount val="99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</c:numCache>
            </c:numRef>
          </c:xVal>
          <c:yVal>
            <c:numRef>
              <c:f>'Standard Curve'!$I$2:$I$100</c:f>
              <c:numCache>
                <c:formatCode>#,##0.000</c:formatCode>
                <c:ptCount val="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09-C140-8900-50DE89767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391424"/>
        <c:axId val="931755696"/>
      </c:scatterChart>
      <c:valAx>
        <c:axId val="93139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 Starting Quantity (Copies Per</a:t>
                </a:r>
                <a:r>
                  <a:rPr lang="en-US" baseline="0"/>
                  <a:t> Reaction)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0;\-#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755696"/>
        <c:crosses val="autoZero"/>
        <c:crossBetween val="midCat"/>
      </c:valAx>
      <c:valAx>
        <c:axId val="93175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9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3</xdr:col>
      <xdr:colOff>368300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C8ADE7-0CE7-8747-9254-4884AC4C8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1AFF-F9E9-3B4B-9665-257CCB22C73E}">
  <dimension ref="A1:N21"/>
  <sheetViews>
    <sheetView workbookViewId="0">
      <selection activeCell="E2" sqref="E2"/>
    </sheetView>
  </sheetViews>
  <sheetFormatPr baseColWidth="10" defaultColWidth="6.6640625" defaultRowHeight="16" x14ac:dyDescent="0.2"/>
  <cols>
    <col min="1" max="1" width="19" customWidth="1"/>
    <col min="2" max="2" width="21.1640625" bestFit="1" customWidth="1"/>
    <col min="3" max="3" width="18.6640625" bestFit="1" customWidth="1"/>
    <col min="6" max="6" width="7.5" customWidth="1"/>
    <col min="7" max="7" width="32.1640625" bestFit="1" customWidth="1"/>
    <col min="8" max="8" width="8.83203125" customWidth="1"/>
    <col min="9" max="9" width="12" style="3" customWidth="1"/>
    <col min="10" max="10" width="17.5" customWidth="1"/>
    <col min="11" max="11" width="18.83203125" customWidth="1"/>
    <col min="12" max="12" width="32.1640625" customWidth="1"/>
    <col min="13" max="13" width="28.83203125" customWidth="1"/>
    <col min="14" max="14" width="43.83203125" customWidth="1"/>
  </cols>
  <sheetData>
    <row r="1" spans="1:14" s="1" customFormat="1" x14ac:dyDescent="0.2">
      <c r="E1" s="1" t="s">
        <v>0</v>
      </c>
      <c r="F1" s="1" t="s">
        <v>1</v>
      </c>
      <c r="G1" s="1" t="s">
        <v>2</v>
      </c>
      <c r="H1" s="1" t="s">
        <v>3</v>
      </c>
      <c r="I1" s="2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2">
      <c r="E2" s="84"/>
      <c r="F2" s="85" t="s">
        <v>10</v>
      </c>
      <c r="G2" s="85"/>
      <c r="H2" s="86" t="s">
        <v>11</v>
      </c>
      <c r="I2" s="87"/>
      <c r="J2" s="87"/>
      <c r="K2" s="87"/>
      <c r="L2" s="88">
        <v>1000000</v>
      </c>
      <c r="M2" s="88">
        <f t="shared" ref="M2:M15" si="0">LOG(L2)</f>
        <v>6</v>
      </c>
      <c r="N2" s="89"/>
    </row>
    <row r="3" spans="1:14" x14ac:dyDescent="0.2">
      <c r="E3" s="84"/>
      <c r="F3" s="85" t="s">
        <v>10</v>
      </c>
      <c r="G3" s="85"/>
      <c r="H3" s="86" t="s">
        <v>11</v>
      </c>
      <c r="I3" s="87"/>
      <c r="J3" s="87"/>
      <c r="K3" s="87"/>
      <c r="L3" s="88">
        <v>1000000</v>
      </c>
      <c r="M3" s="88">
        <f t="shared" si="0"/>
        <v>6</v>
      </c>
      <c r="N3" s="89"/>
    </row>
    <row r="4" spans="1:14" x14ac:dyDescent="0.2">
      <c r="E4" s="84"/>
      <c r="F4" s="85" t="s">
        <v>10</v>
      </c>
      <c r="G4" s="85"/>
      <c r="H4" s="86" t="s">
        <v>12</v>
      </c>
      <c r="I4" s="87"/>
      <c r="J4" s="87"/>
      <c r="K4" s="87"/>
      <c r="L4" s="88">
        <v>100000</v>
      </c>
      <c r="M4" s="88">
        <f t="shared" si="0"/>
        <v>5</v>
      </c>
      <c r="N4" s="89"/>
    </row>
    <row r="5" spans="1:14" x14ac:dyDescent="0.2">
      <c r="E5" s="84"/>
      <c r="F5" s="85" t="s">
        <v>10</v>
      </c>
      <c r="G5" s="85"/>
      <c r="H5" s="86" t="s">
        <v>12</v>
      </c>
      <c r="I5" s="87"/>
      <c r="J5" s="87"/>
      <c r="K5" s="87"/>
      <c r="L5" s="88">
        <v>100000</v>
      </c>
      <c r="M5" s="88">
        <f t="shared" si="0"/>
        <v>5</v>
      </c>
      <c r="N5" s="89"/>
    </row>
    <row r="6" spans="1:14" x14ac:dyDescent="0.2">
      <c r="F6" s="85" t="s">
        <v>10</v>
      </c>
      <c r="G6" s="85"/>
      <c r="H6" s="86" t="s">
        <v>12</v>
      </c>
      <c r="I6" s="24"/>
      <c r="J6" s="24"/>
      <c r="K6" s="24"/>
      <c r="L6" s="88">
        <v>100000</v>
      </c>
      <c r="M6" s="88">
        <f t="shared" si="0"/>
        <v>5</v>
      </c>
      <c r="N6" s="89"/>
    </row>
    <row r="7" spans="1:14" x14ac:dyDescent="0.2">
      <c r="F7" s="85" t="s">
        <v>10</v>
      </c>
      <c r="G7" s="85"/>
      <c r="H7" s="86" t="s">
        <v>12</v>
      </c>
      <c r="I7" s="24"/>
      <c r="J7" s="24"/>
      <c r="K7" s="24"/>
      <c r="L7" s="88">
        <v>100000</v>
      </c>
      <c r="M7" s="88">
        <f t="shared" si="0"/>
        <v>5</v>
      </c>
      <c r="N7" s="89"/>
    </row>
    <row r="8" spans="1:14" x14ac:dyDescent="0.2">
      <c r="E8" s="84"/>
      <c r="F8" s="85" t="s">
        <v>10</v>
      </c>
      <c r="G8" s="85"/>
      <c r="H8" s="86" t="s">
        <v>13</v>
      </c>
      <c r="I8" s="87"/>
      <c r="J8" s="87"/>
      <c r="K8" s="87"/>
      <c r="L8" s="88">
        <v>10000</v>
      </c>
      <c r="M8" s="88">
        <f t="shared" si="0"/>
        <v>4</v>
      </c>
      <c r="N8" s="89"/>
    </row>
    <row r="9" spans="1:14" x14ac:dyDescent="0.2">
      <c r="E9" s="84"/>
      <c r="F9" s="85" t="s">
        <v>10</v>
      </c>
      <c r="G9" s="85"/>
      <c r="H9" s="86" t="s">
        <v>13</v>
      </c>
      <c r="I9" s="87"/>
      <c r="J9" s="87"/>
      <c r="K9" s="87"/>
      <c r="L9" s="88">
        <v>10000</v>
      </c>
      <c r="M9" s="88">
        <f t="shared" si="0"/>
        <v>4</v>
      </c>
      <c r="N9" s="89"/>
    </row>
    <row r="10" spans="1:14" x14ac:dyDescent="0.2">
      <c r="F10" s="85" t="s">
        <v>10</v>
      </c>
      <c r="G10" s="85"/>
      <c r="H10" s="86" t="s">
        <v>13</v>
      </c>
      <c r="I10" s="24"/>
      <c r="J10" s="24"/>
      <c r="K10" s="24"/>
      <c r="L10" s="88">
        <v>10000</v>
      </c>
      <c r="M10" s="88">
        <f t="shared" si="0"/>
        <v>4</v>
      </c>
      <c r="N10" s="89"/>
    </row>
    <row r="11" spans="1:14" x14ac:dyDescent="0.2">
      <c r="F11" s="85" t="s">
        <v>10</v>
      </c>
      <c r="G11" s="85"/>
      <c r="H11" s="86" t="s">
        <v>13</v>
      </c>
      <c r="I11" s="24"/>
      <c r="J11" s="24"/>
      <c r="K11" s="24"/>
      <c r="L11" s="88">
        <v>10000</v>
      </c>
      <c r="M11" s="88">
        <f t="shared" si="0"/>
        <v>4</v>
      </c>
      <c r="N11" s="89"/>
    </row>
    <row r="12" spans="1:14" x14ac:dyDescent="0.2">
      <c r="E12" s="84"/>
      <c r="F12" s="85" t="s">
        <v>10</v>
      </c>
      <c r="G12" s="85"/>
      <c r="H12" s="86" t="s">
        <v>14</v>
      </c>
      <c r="I12" s="87"/>
      <c r="J12" s="87"/>
      <c r="K12" s="87"/>
      <c r="L12" s="88">
        <v>1000</v>
      </c>
      <c r="M12" s="88">
        <f t="shared" si="0"/>
        <v>3</v>
      </c>
      <c r="N12" s="89"/>
    </row>
    <row r="13" spans="1:14" x14ac:dyDescent="0.2">
      <c r="E13" s="84"/>
      <c r="F13" s="85" t="s">
        <v>10</v>
      </c>
      <c r="G13" s="85"/>
      <c r="H13" s="86" t="s">
        <v>14</v>
      </c>
      <c r="I13" s="87"/>
      <c r="J13" s="87"/>
      <c r="K13" s="87"/>
      <c r="L13" s="88">
        <v>1000</v>
      </c>
      <c r="M13" s="88">
        <f t="shared" si="0"/>
        <v>3</v>
      </c>
      <c r="N13" s="89"/>
    </row>
    <row r="14" spans="1:14" x14ac:dyDescent="0.2">
      <c r="E14" s="84"/>
      <c r="F14" s="85" t="s">
        <v>10</v>
      </c>
      <c r="G14" s="85"/>
      <c r="H14" s="86" t="s">
        <v>15</v>
      </c>
      <c r="I14" s="87"/>
      <c r="J14" s="87"/>
      <c r="K14" s="87"/>
      <c r="L14" s="88">
        <v>100</v>
      </c>
      <c r="M14" s="88">
        <f t="shared" si="0"/>
        <v>2</v>
      </c>
      <c r="N14" s="89"/>
    </row>
    <row r="15" spans="1:14" ht="17" thickBot="1" x14ac:dyDescent="0.25">
      <c r="E15" s="84"/>
      <c r="F15" s="85" t="s">
        <v>10</v>
      </c>
      <c r="G15" s="85"/>
      <c r="H15" s="86" t="s">
        <v>15</v>
      </c>
      <c r="I15" s="87"/>
      <c r="J15" s="87"/>
      <c r="K15" s="87"/>
      <c r="L15" s="88">
        <v>100</v>
      </c>
      <c r="M15" s="88">
        <f t="shared" si="0"/>
        <v>2</v>
      </c>
      <c r="N15" s="89"/>
    </row>
    <row r="16" spans="1:14" ht="17" thickBot="1" x14ac:dyDescent="0.25">
      <c r="A16" s="9" t="s">
        <v>16</v>
      </c>
      <c r="B16" s="74" t="s">
        <v>23</v>
      </c>
      <c r="C16" s="75" t="s">
        <v>22</v>
      </c>
      <c r="D16" s="76"/>
    </row>
    <row r="17" spans="1:4" x14ac:dyDescent="0.2">
      <c r="A17" s="8" t="s">
        <v>17</v>
      </c>
      <c r="B17" s="12" t="str">
        <f>IF(E2="","",((10^(-1/B19))-1)*100)</f>
        <v/>
      </c>
      <c r="C17" s="5" t="s">
        <v>24</v>
      </c>
      <c r="D17" s="77" t="str">
        <f>IF(AND(B17&gt;90, B17&lt;110),"Pass","FAIL")</f>
        <v>FAIL</v>
      </c>
    </row>
    <row r="18" spans="1:4" ht="17" thickBot="1" x14ac:dyDescent="0.25">
      <c r="A18" s="5" t="s">
        <v>25</v>
      </c>
      <c r="B18" s="13" t="str">
        <f>IF(E2="","",RSQ($I$2:$I$494,$M$2:$M$494))</f>
        <v/>
      </c>
      <c r="C18" s="6" t="s">
        <v>25</v>
      </c>
      <c r="D18" s="7" t="str">
        <f>IF(B18&gt;0.985,"Pass","FAIL")</f>
        <v>Pass</v>
      </c>
    </row>
    <row r="19" spans="1:4" x14ac:dyDescent="0.2">
      <c r="A19" s="5" t="s">
        <v>18</v>
      </c>
      <c r="B19" s="10" t="str">
        <f>IF(E2="","",SLOPE($I$2:$I$494,$M$2:$M$494))</f>
        <v/>
      </c>
    </row>
    <row r="20" spans="1:4" x14ac:dyDescent="0.2">
      <c r="A20" s="5" t="s">
        <v>19</v>
      </c>
      <c r="B20" s="11" t="str">
        <f>IF(E2="","",INTERCEPT($I$2:$I$494,$M$2:$M$494))</f>
        <v/>
      </c>
    </row>
    <row r="21" spans="1:4" ht="17" thickBot="1" x14ac:dyDescent="0.25">
      <c r="A21" s="6" t="s">
        <v>20</v>
      </c>
      <c r="B21" s="7" t="s">
        <v>21</v>
      </c>
    </row>
  </sheetData>
  <dataValidations count="1">
    <dataValidation type="list" allowBlank="1" showInputMessage="1" showErrorMessage="1" sqref="B21" xr:uid="{0293F3C1-F8D7-2F46-94CE-628DBDF175AE}">
      <formula1>"Phytoxigene Total Cyano, Phytoxigene Toxin (mcyE), Phytoxigene Toxin (sxtA), Phytoxigene Toxin (cyrA)"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6F3C-6601-D243-ADDC-180302E8C4D2}">
  <dimension ref="A1:U55"/>
  <sheetViews>
    <sheetView workbookViewId="0">
      <selection activeCell="L9" sqref="L9"/>
    </sheetView>
  </sheetViews>
  <sheetFormatPr baseColWidth="10" defaultRowHeight="16" x14ac:dyDescent="0.2"/>
  <cols>
    <col min="4" max="4" width="32.1640625" bestFit="1" customWidth="1"/>
    <col min="6" max="6" width="12.6640625" customWidth="1"/>
    <col min="7" max="7" width="16.6640625" customWidth="1"/>
    <col min="8" max="8" width="20.1640625" customWidth="1"/>
    <col min="9" max="9" width="32.1640625" customWidth="1"/>
    <col min="10" max="10" width="28" customWidth="1"/>
    <col min="11" max="11" width="41.83203125" customWidth="1"/>
    <col min="12" max="12" width="18.83203125" bestFit="1" customWidth="1"/>
    <col min="13" max="13" width="26.83203125" bestFit="1" customWidth="1"/>
    <col min="14" max="14" width="11.5" style="30" customWidth="1"/>
    <col min="15" max="15" width="6.1640625" bestFit="1" customWidth="1"/>
    <col min="16" max="16" width="10.1640625" customWidth="1"/>
    <col min="17" max="18" width="8.33203125" customWidth="1"/>
  </cols>
  <sheetData>
    <row r="1" spans="1:21" ht="18" thickBot="1" x14ac:dyDescent="0.25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25" t="s">
        <v>8</v>
      </c>
      <c r="K1" s="1" t="s">
        <v>9</v>
      </c>
      <c r="L1" s="1" t="s">
        <v>26</v>
      </c>
      <c r="M1" s="1" t="s">
        <v>27</v>
      </c>
      <c r="N1" s="26" t="s">
        <v>28</v>
      </c>
      <c r="O1" s="27" t="s">
        <v>31</v>
      </c>
      <c r="P1" s="27" t="s">
        <v>30</v>
      </c>
      <c r="Q1" s="27" t="s">
        <v>32</v>
      </c>
      <c r="R1" s="27" t="s">
        <v>33</v>
      </c>
    </row>
    <row r="2" spans="1:21" ht="17" thickBot="1" x14ac:dyDescent="0.25">
      <c r="A2" s="53"/>
      <c r="B2" s="93"/>
      <c r="C2" s="94" t="s">
        <v>10</v>
      </c>
      <c r="D2" s="94"/>
      <c r="E2" s="95" t="s">
        <v>11</v>
      </c>
      <c r="F2" s="96"/>
      <c r="G2" s="96"/>
      <c r="H2" s="96"/>
      <c r="I2" s="97">
        <v>1000000</v>
      </c>
      <c r="J2" s="97">
        <f t="shared" ref="J2:J3" si="0">LOG(I2)</f>
        <v>6</v>
      </c>
      <c r="K2" s="98"/>
      <c r="L2" s="28" t="str">
        <f t="shared" ref="L2:L11" si="1">IF(ISNUMBER(F2),AVERAGE($F$2:$F$11),"")</f>
        <v/>
      </c>
      <c r="M2" s="29" t="str">
        <f t="shared" ref="M2:M11" si="2">IF(ISNUMBER(F2),STDEV($F$2:$F$11),"")</f>
        <v/>
      </c>
      <c r="N2" s="30" t="str">
        <f t="shared" ref="N2:N11" si="3">IF(ISNUMBER(G2),VLOOKUP(VALUE(COUNTIF($E$2:$E$11,"NA026")),$T$2:$U$27,2),"")</f>
        <v/>
      </c>
      <c r="O2" s="31" t="str">
        <f>IF(ISNUMBER(F2),IF(ABS(L2-F2)&lt;1,"PASS","FAIL"),"")</f>
        <v/>
      </c>
      <c r="P2" s="32" t="str">
        <f>IF(ISNUMBER(F2),IF((L2-F2)-(N2*M2)&lt;0,"PASS","FAIL"),"")</f>
        <v/>
      </c>
      <c r="Q2" s="31" t="str">
        <f t="shared" ref="Q2:Q33" si="4">IF(ISNUMBER(F2),IF(G2&gt;(L2+(M2*3)),"FAIL","PASS"),"")</f>
        <v/>
      </c>
      <c r="R2" s="31" t="str">
        <f t="shared" ref="R2:R33" si="5">IF(ISNUMBER(F2),IF(G2&lt;(L2-(M2*3)),"FAIL","PASS"),"")</f>
        <v/>
      </c>
      <c r="T2" s="14" t="s">
        <v>29</v>
      </c>
      <c r="U2" s="14" t="s">
        <v>28</v>
      </c>
    </row>
    <row r="3" spans="1:21" ht="17" thickBot="1" x14ac:dyDescent="0.25">
      <c r="A3" s="54"/>
      <c r="B3" s="99"/>
      <c r="C3" s="85" t="s">
        <v>10</v>
      </c>
      <c r="D3" s="85"/>
      <c r="E3" s="86" t="s">
        <v>11</v>
      </c>
      <c r="F3" s="87"/>
      <c r="G3" s="87"/>
      <c r="H3" s="87"/>
      <c r="I3" s="88">
        <v>1000000</v>
      </c>
      <c r="J3" s="88">
        <f t="shared" si="0"/>
        <v>6</v>
      </c>
      <c r="K3" s="89"/>
      <c r="L3" s="4" t="str">
        <f t="shared" si="1"/>
        <v/>
      </c>
      <c r="M3" s="33" t="str">
        <f t="shared" si="2"/>
        <v/>
      </c>
      <c r="N3" s="30" t="str">
        <f t="shared" si="3"/>
        <v/>
      </c>
      <c r="O3" s="31" t="str">
        <f t="shared" ref="O3:O51" si="6">IF(ISNUMBER(F3),IF(ABS(L3-F3)&lt;1,"PASS","FAIL"),"")</f>
        <v/>
      </c>
      <c r="P3" s="32" t="str">
        <f t="shared" ref="P3:P51" si="7">IF(ISNUMBER(F3),IF((L3-F3)-(N3*M3)&lt;0,"PASS","FAIL"),"")</f>
        <v/>
      </c>
      <c r="Q3" s="31" t="str">
        <f t="shared" si="4"/>
        <v/>
      </c>
      <c r="R3" s="31" t="str">
        <f t="shared" si="5"/>
        <v/>
      </c>
      <c r="T3" s="14">
        <v>3</v>
      </c>
      <c r="U3" s="15">
        <v>1.1511</v>
      </c>
    </row>
    <row r="4" spans="1:21" ht="17" thickBot="1" x14ac:dyDescent="0.25">
      <c r="A4" s="54"/>
      <c r="B4" s="142"/>
      <c r="F4" s="143"/>
      <c r="G4" s="4"/>
      <c r="H4" s="4"/>
      <c r="I4" s="4"/>
      <c r="J4" s="4"/>
      <c r="K4" s="4"/>
      <c r="L4" s="4" t="str">
        <f t="shared" si="1"/>
        <v/>
      </c>
      <c r="M4" s="33" t="str">
        <f t="shared" si="2"/>
        <v/>
      </c>
      <c r="N4" s="30" t="str">
        <f t="shared" si="3"/>
        <v/>
      </c>
      <c r="O4" s="31" t="str">
        <f t="shared" si="6"/>
        <v/>
      </c>
      <c r="P4" s="32" t="str">
        <f t="shared" si="7"/>
        <v/>
      </c>
      <c r="Q4" s="31" t="str">
        <f t="shared" si="4"/>
        <v/>
      </c>
      <c r="R4" s="31" t="str">
        <f t="shared" si="5"/>
        <v/>
      </c>
      <c r="T4" s="14">
        <v>4</v>
      </c>
      <c r="U4" s="15">
        <v>1.425</v>
      </c>
    </row>
    <row r="5" spans="1:21" ht="17" thickBot="1" x14ac:dyDescent="0.25">
      <c r="A5" s="54"/>
      <c r="B5" s="142"/>
      <c r="F5" s="143"/>
      <c r="G5" s="4"/>
      <c r="H5" s="4"/>
      <c r="I5" s="4"/>
      <c r="J5" s="4"/>
      <c r="K5" s="4"/>
      <c r="L5" s="4" t="str">
        <f t="shared" si="1"/>
        <v/>
      </c>
      <c r="M5" s="33" t="str">
        <f t="shared" si="2"/>
        <v/>
      </c>
      <c r="N5" s="30" t="str">
        <f t="shared" si="3"/>
        <v/>
      </c>
      <c r="O5" s="31" t="str">
        <f t="shared" si="6"/>
        <v/>
      </c>
      <c r="P5" s="32" t="str">
        <f t="shared" si="7"/>
        <v/>
      </c>
      <c r="Q5" s="31" t="str">
        <f t="shared" si="4"/>
        <v/>
      </c>
      <c r="R5" s="31" t="str">
        <f t="shared" si="5"/>
        <v/>
      </c>
      <c r="T5" s="14">
        <v>5</v>
      </c>
      <c r="U5" s="15">
        <v>1.5711999999999999</v>
      </c>
    </row>
    <row r="6" spans="1:21" ht="17" thickBot="1" x14ac:dyDescent="0.25">
      <c r="A6" s="55" t="s">
        <v>11</v>
      </c>
      <c r="B6" s="142"/>
      <c r="F6" s="143"/>
      <c r="G6" s="4"/>
      <c r="H6" s="4"/>
      <c r="I6" s="4"/>
      <c r="J6" s="4"/>
      <c r="K6" s="4"/>
      <c r="L6" s="4" t="str">
        <f t="shared" si="1"/>
        <v/>
      </c>
      <c r="M6" s="33" t="str">
        <f t="shared" si="2"/>
        <v/>
      </c>
      <c r="N6" s="30" t="str">
        <f t="shared" si="3"/>
        <v/>
      </c>
      <c r="O6" s="31" t="str">
        <f t="shared" si="6"/>
        <v/>
      </c>
      <c r="P6" s="32" t="str">
        <f t="shared" si="7"/>
        <v/>
      </c>
      <c r="Q6" s="31" t="str">
        <f t="shared" si="4"/>
        <v/>
      </c>
      <c r="R6" s="31" t="str">
        <f t="shared" si="5"/>
        <v/>
      </c>
      <c r="T6" s="14">
        <v>6</v>
      </c>
      <c r="U6" s="15">
        <v>1.6563000000000001</v>
      </c>
    </row>
    <row r="7" spans="1:21" ht="17" thickBot="1" x14ac:dyDescent="0.25">
      <c r="A7" s="55" t="s">
        <v>34</v>
      </c>
      <c r="B7" s="142"/>
      <c r="F7" s="143"/>
      <c r="G7" s="4"/>
      <c r="H7" s="4"/>
      <c r="I7" s="4"/>
      <c r="J7" s="4"/>
      <c r="K7" s="4"/>
      <c r="L7" s="4" t="str">
        <f t="shared" si="1"/>
        <v/>
      </c>
      <c r="M7" s="33" t="str">
        <f t="shared" si="2"/>
        <v/>
      </c>
      <c r="N7" s="30" t="str">
        <f t="shared" si="3"/>
        <v/>
      </c>
      <c r="O7" s="31" t="str">
        <f t="shared" si="6"/>
        <v/>
      </c>
      <c r="P7" s="32" t="str">
        <f t="shared" si="7"/>
        <v/>
      </c>
      <c r="Q7" s="31" t="str">
        <f t="shared" si="4"/>
        <v/>
      </c>
      <c r="R7" s="31" t="str">
        <f t="shared" si="5"/>
        <v/>
      </c>
      <c r="T7" s="14">
        <v>7</v>
      </c>
      <c r="U7" s="15">
        <v>1.7110000000000001</v>
      </c>
    </row>
    <row r="8" spans="1:21" ht="17" thickBot="1" x14ac:dyDescent="0.25">
      <c r="A8" s="54"/>
      <c r="B8" s="142"/>
      <c r="F8" s="143"/>
      <c r="G8" s="4"/>
      <c r="H8" s="4"/>
      <c r="I8" s="4"/>
      <c r="J8" s="4"/>
      <c r="K8" s="4"/>
      <c r="L8" s="4" t="str">
        <f t="shared" si="1"/>
        <v/>
      </c>
      <c r="M8" s="33" t="str">
        <f t="shared" si="2"/>
        <v/>
      </c>
      <c r="N8" s="30" t="str">
        <f t="shared" si="3"/>
        <v/>
      </c>
      <c r="O8" s="31" t="str">
        <f t="shared" si="6"/>
        <v/>
      </c>
      <c r="P8" s="32" t="str">
        <f t="shared" si="7"/>
        <v/>
      </c>
      <c r="Q8" s="31" t="str">
        <f t="shared" si="4"/>
        <v/>
      </c>
      <c r="R8" s="31" t="str">
        <f t="shared" si="5"/>
        <v/>
      </c>
      <c r="T8" s="14">
        <v>8</v>
      </c>
      <c r="U8" s="15">
        <v>1.7491000000000001</v>
      </c>
    </row>
    <row r="9" spans="1:21" ht="17" thickBot="1" x14ac:dyDescent="0.25">
      <c r="A9" s="54"/>
      <c r="B9" s="142"/>
      <c r="F9" s="143"/>
      <c r="G9" s="4"/>
      <c r="H9" s="4"/>
      <c r="I9" s="4"/>
      <c r="J9" s="4"/>
      <c r="K9" s="4"/>
      <c r="L9" s="4" t="str">
        <f t="shared" si="1"/>
        <v/>
      </c>
      <c r="M9" s="33" t="str">
        <f t="shared" si="2"/>
        <v/>
      </c>
      <c r="N9" s="30" t="str">
        <f t="shared" si="3"/>
        <v/>
      </c>
      <c r="O9" s="31" t="str">
        <f t="shared" si="6"/>
        <v/>
      </c>
      <c r="P9" s="32" t="str">
        <f t="shared" si="7"/>
        <v/>
      </c>
      <c r="Q9" s="31" t="str">
        <f t="shared" si="4"/>
        <v/>
      </c>
      <c r="R9" s="31" t="str">
        <f t="shared" si="5"/>
        <v/>
      </c>
      <c r="T9" s="14">
        <v>9</v>
      </c>
      <c r="U9" s="15">
        <v>1.7769999999999999</v>
      </c>
    </row>
    <row r="10" spans="1:21" x14ac:dyDescent="0.2">
      <c r="A10" s="54"/>
      <c r="B10" s="142"/>
      <c r="F10" s="143"/>
      <c r="G10" s="4"/>
      <c r="H10" s="4"/>
      <c r="I10" s="4"/>
      <c r="J10" s="4"/>
      <c r="K10" s="4"/>
      <c r="L10" s="4" t="str">
        <f t="shared" si="1"/>
        <v/>
      </c>
      <c r="M10" s="33" t="str">
        <f t="shared" si="2"/>
        <v/>
      </c>
      <c r="N10" s="30" t="str">
        <f t="shared" si="3"/>
        <v/>
      </c>
      <c r="O10" s="31" t="str">
        <f t="shared" si="6"/>
        <v/>
      </c>
      <c r="P10" s="32" t="str">
        <f t="shared" si="7"/>
        <v/>
      </c>
      <c r="Q10" s="31" t="str">
        <f t="shared" si="4"/>
        <v/>
      </c>
      <c r="R10" s="31" t="str">
        <f t="shared" si="5"/>
        <v/>
      </c>
      <c r="T10" s="16">
        <v>10</v>
      </c>
      <c r="U10" s="17">
        <v>1.7984</v>
      </c>
    </row>
    <row r="11" spans="1:21" ht="17" thickBot="1" x14ac:dyDescent="0.25">
      <c r="A11" s="56"/>
      <c r="B11" s="144"/>
      <c r="C11" s="60"/>
      <c r="D11" s="60"/>
      <c r="E11" s="60"/>
      <c r="F11" s="145"/>
      <c r="G11" s="34"/>
      <c r="H11" s="34"/>
      <c r="I11" s="34"/>
      <c r="J11" s="34"/>
      <c r="K11" s="34"/>
      <c r="L11" s="34" t="str">
        <f t="shared" si="1"/>
        <v/>
      </c>
      <c r="M11" s="35" t="str">
        <f t="shared" si="2"/>
        <v/>
      </c>
      <c r="N11" s="30" t="str">
        <f t="shared" si="3"/>
        <v/>
      </c>
      <c r="O11" s="31" t="str">
        <f t="shared" si="6"/>
        <v/>
      </c>
      <c r="P11" s="32" t="str">
        <f t="shared" si="7"/>
        <v/>
      </c>
      <c r="Q11" s="31" t="str">
        <f t="shared" si="4"/>
        <v/>
      </c>
      <c r="R11" s="31" t="str">
        <f t="shared" si="5"/>
        <v/>
      </c>
      <c r="T11" s="18">
        <v>12</v>
      </c>
      <c r="U11" s="19">
        <v>1.829</v>
      </c>
    </row>
    <row r="12" spans="1:21" ht="17" thickBot="1" x14ac:dyDescent="0.25">
      <c r="A12" s="37"/>
      <c r="B12" s="84"/>
      <c r="C12" s="85" t="s">
        <v>10</v>
      </c>
      <c r="D12" s="85"/>
      <c r="E12" s="86" t="s">
        <v>12</v>
      </c>
      <c r="F12" s="87"/>
      <c r="G12" s="87"/>
      <c r="H12" s="87"/>
      <c r="I12" s="88">
        <v>100000</v>
      </c>
      <c r="J12" s="88">
        <f t="shared" ref="J12:J15" si="8">LOG(I12)</f>
        <v>5</v>
      </c>
      <c r="K12" s="89"/>
      <c r="L12" s="28" t="str">
        <f t="shared" ref="L12:L21" si="9">IF(ISNUMBER(F12),AVERAGE($F$12:$F$21),"")</f>
        <v/>
      </c>
      <c r="M12" s="29" t="str">
        <f t="shared" ref="M12:M21" si="10">IF(ISNUMBER(F12),STDEV($F$12:$F$21),"")</f>
        <v/>
      </c>
      <c r="N12" s="30" t="str">
        <f t="shared" ref="N12:N21" si="11">IF(ISNUMBER(G12),VLOOKUP(VALUE(COUNTIF($E$12:$E$21,"NA015")),$T$2:$U$27,2),"")</f>
        <v/>
      </c>
      <c r="O12" s="31" t="str">
        <f t="shared" si="6"/>
        <v/>
      </c>
      <c r="P12" s="32" t="str">
        <f t="shared" si="7"/>
        <v/>
      </c>
      <c r="Q12" s="31" t="str">
        <f t="shared" si="4"/>
        <v/>
      </c>
      <c r="R12" s="31" t="str">
        <f t="shared" si="5"/>
        <v/>
      </c>
      <c r="T12" s="14">
        <v>14</v>
      </c>
      <c r="U12" s="15">
        <v>1.8498000000000001</v>
      </c>
    </row>
    <row r="13" spans="1:21" ht="17" thickBot="1" x14ac:dyDescent="0.25">
      <c r="A13" s="38"/>
      <c r="B13" s="84"/>
      <c r="C13" s="85" t="s">
        <v>10</v>
      </c>
      <c r="D13" s="85"/>
      <c r="E13" s="86" t="s">
        <v>12</v>
      </c>
      <c r="F13" s="87"/>
      <c r="G13" s="87"/>
      <c r="H13" s="87"/>
      <c r="I13" s="88">
        <v>100000</v>
      </c>
      <c r="J13" s="88">
        <f t="shared" si="8"/>
        <v>5</v>
      </c>
      <c r="K13" s="89"/>
      <c r="L13" s="4" t="str">
        <f t="shared" si="9"/>
        <v/>
      </c>
      <c r="M13" s="33" t="str">
        <f t="shared" si="10"/>
        <v/>
      </c>
      <c r="N13" s="30" t="str">
        <f t="shared" si="11"/>
        <v/>
      </c>
      <c r="O13" s="31" t="str">
        <f t="shared" si="6"/>
        <v/>
      </c>
      <c r="P13" s="32" t="str">
        <f t="shared" si="7"/>
        <v/>
      </c>
      <c r="Q13" s="31" t="str">
        <f t="shared" si="4"/>
        <v/>
      </c>
      <c r="R13" s="31" t="str">
        <f t="shared" si="5"/>
        <v/>
      </c>
      <c r="T13" s="14">
        <v>15</v>
      </c>
      <c r="U13" s="15">
        <v>1.8579000000000001</v>
      </c>
    </row>
    <row r="14" spans="1:21" ht="17" thickBot="1" x14ac:dyDescent="0.25">
      <c r="A14" s="38"/>
      <c r="C14" s="85" t="s">
        <v>10</v>
      </c>
      <c r="D14" s="85"/>
      <c r="E14" s="86" t="s">
        <v>12</v>
      </c>
      <c r="F14" s="24"/>
      <c r="G14" s="24"/>
      <c r="H14" s="24"/>
      <c r="I14" s="88">
        <v>100000</v>
      </c>
      <c r="J14" s="88">
        <f t="shared" si="8"/>
        <v>5</v>
      </c>
      <c r="K14" s="89"/>
      <c r="L14" s="4" t="str">
        <f t="shared" si="9"/>
        <v/>
      </c>
      <c r="M14" s="33" t="str">
        <f t="shared" si="10"/>
        <v/>
      </c>
      <c r="N14" s="30" t="str">
        <f t="shared" si="11"/>
        <v/>
      </c>
      <c r="O14" s="31" t="str">
        <f t="shared" si="6"/>
        <v/>
      </c>
      <c r="P14" s="32" t="str">
        <f t="shared" si="7"/>
        <v/>
      </c>
      <c r="Q14" s="31" t="str">
        <f t="shared" si="4"/>
        <v/>
      </c>
      <c r="R14" s="31" t="str">
        <f t="shared" si="5"/>
        <v/>
      </c>
      <c r="T14" s="14">
        <v>16</v>
      </c>
      <c r="U14" s="15">
        <v>1.8649</v>
      </c>
    </row>
    <row r="15" spans="1:21" ht="17" thickBot="1" x14ac:dyDescent="0.25">
      <c r="A15" s="38"/>
      <c r="C15" s="85" t="s">
        <v>10</v>
      </c>
      <c r="D15" s="85"/>
      <c r="E15" s="86" t="s">
        <v>12</v>
      </c>
      <c r="F15" s="24"/>
      <c r="G15" s="24"/>
      <c r="H15" s="24"/>
      <c r="I15" s="88">
        <v>100000</v>
      </c>
      <c r="J15" s="88">
        <f t="shared" si="8"/>
        <v>5</v>
      </c>
      <c r="K15" s="89"/>
      <c r="L15" s="4" t="str">
        <f t="shared" si="9"/>
        <v/>
      </c>
      <c r="M15" s="33" t="str">
        <f t="shared" si="10"/>
        <v/>
      </c>
      <c r="N15" s="30" t="str">
        <f t="shared" si="11"/>
        <v/>
      </c>
      <c r="O15" s="31" t="str">
        <f t="shared" si="6"/>
        <v/>
      </c>
      <c r="P15" s="32" t="str">
        <f t="shared" si="7"/>
        <v/>
      </c>
      <c r="Q15" s="31" t="str">
        <f t="shared" si="4"/>
        <v/>
      </c>
      <c r="R15" s="31" t="str">
        <f t="shared" si="5"/>
        <v/>
      </c>
      <c r="T15" s="14">
        <v>18</v>
      </c>
      <c r="U15" s="15">
        <v>1.8764000000000001</v>
      </c>
    </row>
    <row r="16" spans="1:21" ht="17" thickBot="1" x14ac:dyDescent="0.25">
      <c r="A16" s="39" t="s">
        <v>12</v>
      </c>
      <c r="B16" s="142"/>
      <c r="F16" s="143"/>
      <c r="G16" s="4"/>
      <c r="H16" s="4"/>
      <c r="I16" s="4"/>
      <c r="J16" s="4"/>
      <c r="K16" s="4"/>
      <c r="L16" s="4" t="str">
        <f t="shared" si="9"/>
        <v/>
      </c>
      <c r="M16" s="33" t="str">
        <f t="shared" si="10"/>
        <v/>
      </c>
      <c r="N16" s="30" t="str">
        <f t="shared" si="11"/>
        <v/>
      </c>
      <c r="O16" s="31" t="str">
        <f t="shared" si="6"/>
        <v/>
      </c>
      <c r="P16" s="32" t="str">
        <f t="shared" si="7"/>
        <v/>
      </c>
      <c r="Q16" s="31" t="str">
        <f t="shared" si="4"/>
        <v/>
      </c>
      <c r="R16" s="31" t="str">
        <f t="shared" si="5"/>
        <v/>
      </c>
      <c r="T16" s="20">
        <v>19</v>
      </c>
      <c r="U16" s="21">
        <v>1.8811</v>
      </c>
    </row>
    <row r="17" spans="1:21" ht="17" thickBot="1" x14ac:dyDescent="0.25">
      <c r="A17" s="39" t="s">
        <v>34</v>
      </c>
      <c r="B17" s="142"/>
      <c r="F17" s="143"/>
      <c r="G17" s="4"/>
      <c r="H17" s="4"/>
      <c r="I17" s="4"/>
      <c r="J17" s="4"/>
      <c r="K17" s="4"/>
      <c r="L17" s="4" t="str">
        <f t="shared" si="9"/>
        <v/>
      </c>
      <c r="M17" s="33" t="str">
        <f t="shared" si="10"/>
        <v/>
      </c>
      <c r="N17" s="30" t="str">
        <f t="shared" si="11"/>
        <v/>
      </c>
      <c r="O17" s="31" t="str">
        <f t="shared" si="6"/>
        <v/>
      </c>
      <c r="P17" s="32" t="str">
        <f t="shared" si="7"/>
        <v/>
      </c>
      <c r="Q17" s="31" t="str">
        <f t="shared" si="4"/>
        <v/>
      </c>
      <c r="R17" s="31" t="str">
        <f t="shared" si="5"/>
        <v/>
      </c>
      <c r="T17" s="14">
        <v>20</v>
      </c>
      <c r="U17" s="15">
        <v>1.8853</v>
      </c>
    </row>
    <row r="18" spans="1:21" ht="17" thickBot="1" x14ac:dyDescent="0.25">
      <c r="A18" s="38"/>
      <c r="B18" s="142"/>
      <c r="F18" s="143"/>
      <c r="G18" s="4"/>
      <c r="H18" s="4"/>
      <c r="I18" s="4"/>
      <c r="J18" s="4"/>
      <c r="K18" s="4"/>
      <c r="L18" s="4" t="str">
        <f t="shared" si="9"/>
        <v/>
      </c>
      <c r="M18" s="33" t="str">
        <f t="shared" si="10"/>
        <v/>
      </c>
      <c r="N18" s="30" t="str">
        <f t="shared" si="11"/>
        <v/>
      </c>
      <c r="O18" s="31" t="str">
        <f t="shared" si="6"/>
        <v/>
      </c>
      <c r="P18" s="32" t="str">
        <f t="shared" si="7"/>
        <v/>
      </c>
      <c r="Q18" s="31" t="str">
        <f t="shared" si="4"/>
        <v/>
      </c>
      <c r="R18" s="31" t="str">
        <f t="shared" si="5"/>
        <v/>
      </c>
      <c r="T18" s="14">
        <v>21</v>
      </c>
      <c r="U18" s="15">
        <v>1.8891</v>
      </c>
    </row>
    <row r="19" spans="1:21" ht="17" thickBot="1" x14ac:dyDescent="0.25">
      <c r="A19" s="38"/>
      <c r="B19" s="142"/>
      <c r="F19" s="143"/>
      <c r="G19" s="4"/>
      <c r="H19" s="4"/>
      <c r="I19" s="4"/>
      <c r="J19" s="4"/>
      <c r="K19" s="4"/>
      <c r="L19" s="4" t="str">
        <f t="shared" si="9"/>
        <v/>
      </c>
      <c r="M19" s="33" t="str">
        <f t="shared" si="10"/>
        <v/>
      </c>
      <c r="N19" s="30" t="str">
        <f t="shared" si="11"/>
        <v/>
      </c>
      <c r="O19" s="31" t="str">
        <f t="shared" si="6"/>
        <v/>
      </c>
      <c r="P19" s="32" t="str">
        <f t="shared" si="7"/>
        <v/>
      </c>
      <c r="Q19" s="31" t="str">
        <f t="shared" si="4"/>
        <v/>
      </c>
      <c r="R19" s="31" t="str">
        <f t="shared" si="5"/>
        <v/>
      </c>
      <c r="T19" s="14">
        <v>22</v>
      </c>
      <c r="U19" s="15">
        <v>1.8926000000000001</v>
      </c>
    </row>
    <row r="20" spans="1:21" ht="17" thickBot="1" x14ac:dyDescent="0.25">
      <c r="A20" s="38"/>
      <c r="B20" s="142"/>
      <c r="F20" s="143"/>
      <c r="G20" s="4"/>
      <c r="H20" s="4"/>
      <c r="I20" s="4"/>
      <c r="J20" s="4"/>
      <c r="K20" s="4"/>
      <c r="L20" s="4" t="str">
        <f t="shared" si="9"/>
        <v/>
      </c>
      <c r="M20" s="33" t="str">
        <f t="shared" si="10"/>
        <v/>
      </c>
      <c r="N20" s="30" t="str">
        <f t="shared" si="11"/>
        <v/>
      </c>
      <c r="O20" s="31" t="str">
        <f t="shared" si="6"/>
        <v/>
      </c>
      <c r="P20" s="32" t="str">
        <f t="shared" si="7"/>
        <v/>
      </c>
      <c r="Q20" s="31" t="str">
        <f t="shared" si="4"/>
        <v/>
      </c>
      <c r="R20" s="31" t="str">
        <f t="shared" si="5"/>
        <v/>
      </c>
      <c r="T20" s="14">
        <v>23</v>
      </c>
      <c r="U20" s="15">
        <v>1.8956999999999999</v>
      </c>
    </row>
    <row r="21" spans="1:21" ht="17" thickBot="1" x14ac:dyDescent="0.25">
      <c r="A21" s="40"/>
      <c r="B21" s="144"/>
      <c r="C21" s="60"/>
      <c r="D21" s="60"/>
      <c r="E21" s="60"/>
      <c r="F21" s="145"/>
      <c r="G21" s="34"/>
      <c r="H21" s="34"/>
      <c r="I21" s="34"/>
      <c r="J21" s="34"/>
      <c r="K21" s="34"/>
      <c r="L21" s="34" t="str">
        <f t="shared" si="9"/>
        <v/>
      </c>
      <c r="M21" s="35" t="str">
        <f t="shared" si="10"/>
        <v/>
      </c>
      <c r="N21" s="30" t="str">
        <f t="shared" si="11"/>
        <v/>
      </c>
      <c r="O21" s="31" t="str">
        <f t="shared" si="6"/>
        <v/>
      </c>
      <c r="P21" s="32" t="str">
        <f t="shared" si="7"/>
        <v/>
      </c>
      <c r="Q21" s="31" t="str">
        <f t="shared" si="4"/>
        <v/>
      </c>
      <c r="R21" s="31" t="str">
        <f t="shared" si="5"/>
        <v/>
      </c>
      <c r="T21" s="14">
        <v>24</v>
      </c>
      <c r="U21" s="15">
        <v>1.8985000000000001</v>
      </c>
    </row>
    <row r="22" spans="1:21" x14ac:dyDescent="0.2">
      <c r="A22" s="41"/>
      <c r="B22" s="84"/>
      <c r="C22" s="85" t="s">
        <v>10</v>
      </c>
      <c r="D22" s="85"/>
      <c r="E22" s="86" t="s">
        <v>13</v>
      </c>
      <c r="F22" s="87"/>
      <c r="G22" s="87"/>
      <c r="H22" s="87"/>
      <c r="I22" s="88">
        <v>10000</v>
      </c>
      <c r="J22" s="88">
        <f t="shared" ref="J22:J25" si="12">LOG(I22)</f>
        <v>4</v>
      </c>
      <c r="K22" s="89"/>
      <c r="L22" s="28" t="str">
        <f t="shared" ref="L22:L31" si="13">IF(ISNUMBER(F22),AVERAGE($F$22:$F$31),"")</f>
        <v/>
      </c>
      <c r="M22" s="29" t="str">
        <f t="shared" ref="M22:M31" si="14">IF(ISNUMBER(F22),STDEV($F$22:$F$31),"")</f>
        <v/>
      </c>
      <c r="N22" s="30" t="str">
        <f t="shared" ref="N22:N31" si="15">IF(ISNUMBER(G22),VLOOKUP(VALUE(COUNTIF($E$22:$E$31,"NA014")),$T$2:$U$27,2),"")</f>
        <v/>
      </c>
      <c r="O22" s="31" t="str">
        <f t="shared" si="6"/>
        <v/>
      </c>
      <c r="P22" s="32" t="str">
        <f t="shared" si="7"/>
        <v/>
      </c>
      <c r="Q22" s="31" t="str">
        <f t="shared" si="4"/>
        <v/>
      </c>
      <c r="R22" s="31" t="str">
        <f t="shared" si="5"/>
        <v/>
      </c>
      <c r="T22" s="20">
        <v>25</v>
      </c>
      <c r="U22" s="21">
        <v>1.9011</v>
      </c>
    </row>
    <row r="23" spans="1:21" ht="17" thickBot="1" x14ac:dyDescent="0.25">
      <c r="A23" s="42"/>
      <c r="B23" s="84"/>
      <c r="C23" s="85" t="s">
        <v>10</v>
      </c>
      <c r="D23" s="85"/>
      <c r="E23" s="86" t="s">
        <v>13</v>
      </c>
      <c r="F23" s="87"/>
      <c r="G23" s="87"/>
      <c r="H23" s="87"/>
      <c r="I23" s="88">
        <v>10000</v>
      </c>
      <c r="J23" s="88">
        <f t="shared" si="12"/>
        <v>4</v>
      </c>
      <c r="K23" s="89"/>
      <c r="L23" s="4" t="str">
        <f t="shared" si="13"/>
        <v/>
      </c>
      <c r="M23" s="33" t="str">
        <f t="shared" si="14"/>
        <v/>
      </c>
      <c r="N23" s="30" t="str">
        <f t="shared" si="15"/>
        <v/>
      </c>
      <c r="O23" s="31" t="str">
        <f t="shared" si="6"/>
        <v/>
      </c>
      <c r="P23" s="32" t="str">
        <f t="shared" si="7"/>
        <v/>
      </c>
      <c r="Q23" s="31" t="str">
        <f t="shared" si="4"/>
        <v/>
      </c>
      <c r="R23" s="31" t="str">
        <f t="shared" si="5"/>
        <v/>
      </c>
      <c r="T23" s="22">
        <v>26</v>
      </c>
      <c r="U23" s="23">
        <v>1.9035</v>
      </c>
    </row>
    <row r="24" spans="1:21" ht="17" thickBot="1" x14ac:dyDescent="0.25">
      <c r="A24" s="42"/>
      <c r="C24" s="85" t="s">
        <v>10</v>
      </c>
      <c r="D24" s="85"/>
      <c r="E24" s="86" t="s">
        <v>13</v>
      </c>
      <c r="F24" s="24"/>
      <c r="G24" s="24"/>
      <c r="H24" s="24"/>
      <c r="I24" s="88">
        <v>10000</v>
      </c>
      <c r="J24" s="88">
        <f t="shared" si="12"/>
        <v>4</v>
      </c>
      <c r="K24" s="89"/>
      <c r="L24" s="4" t="str">
        <f t="shared" si="13"/>
        <v/>
      </c>
      <c r="M24" s="33" t="str">
        <f t="shared" si="14"/>
        <v/>
      </c>
      <c r="N24" s="30" t="str">
        <f t="shared" si="15"/>
        <v/>
      </c>
      <c r="O24" s="31" t="str">
        <f t="shared" si="6"/>
        <v/>
      </c>
      <c r="P24" s="32" t="str">
        <f t="shared" si="7"/>
        <v/>
      </c>
      <c r="Q24" s="31" t="str">
        <f t="shared" si="4"/>
        <v/>
      </c>
      <c r="R24" s="31" t="str">
        <f t="shared" si="5"/>
        <v/>
      </c>
      <c r="T24" s="14">
        <v>27</v>
      </c>
      <c r="U24" s="15">
        <v>1.9056999999999999</v>
      </c>
    </row>
    <row r="25" spans="1:21" ht="17" thickBot="1" x14ac:dyDescent="0.25">
      <c r="A25" s="42"/>
      <c r="C25" s="85" t="s">
        <v>10</v>
      </c>
      <c r="D25" s="85"/>
      <c r="E25" s="86" t="s">
        <v>13</v>
      </c>
      <c r="F25" s="24"/>
      <c r="G25" s="24"/>
      <c r="H25" s="24"/>
      <c r="I25" s="88">
        <v>10000</v>
      </c>
      <c r="J25" s="88">
        <f t="shared" si="12"/>
        <v>4</v>
      </c>
      <c r="K25" s="89"/>
      <c r="L25" s="4" t="str">
        <f t="shared" si="13"/>
        <v/>
      </c>
      <c r="M25" s="33" t="str">
        <f t="shared" si="14"/>
        <v/>
      </c>
      <c r="N25" s="30" t="str">
        <f t="shared" si="15"/>
        <v/>
      </c>
      <c r="O25" s="31" t="str">
        <f t="shared" si="6"/>
        <v/>
      </c>
      <c r="P25" s="32" t="str">
        <f t="shared" si="7"/>
        <v/>
      </c>
      <c r="Q25" s="31" t="str">
        <f t="shared" si="4"/>
        <v/>
      </c>
      <c r="R25" s="31" t="str">
        <f t="shared" si="5"/>
        <v/>
      </c>
      <c r="T25" s="14">
        <v>28</v>
      </c>
      <c r="U25" s="15">
        <v>1.9077999999999999</v>
      </c>
    </row>
    <row r="26" spans="1:21" ht="17" thickBot="1" x14ac:dyDescent="0.25">
      <c r="A26" s="43" t="s">
        <v>13</v>
      </c>
      <c r="B26" s="142"/>
      <c r="F26" s="143"/>
      <c r="G26" s="4"/>
      <c r="H26" s="4"/>
      <c r="I26" s="4"/>
      <c r="J26" s="4"/>
      <c r="K26" s="4"/>
      <c r="L26" s="4" t="str">
        <f t="shared" si="13"/>
        <v/>
      </c>
      <c r="M26" s="33" t="str">
        <f t="shared" si="14"/>
        <v/>
      </c>
      <c r="N26" s="30" t="str">
        <f t="shared" si="15"/>
        <v/>
      </c>
      <c r="O26" s="31" t="str">
        <f t="shared" si="6"/>
        <v/>
      </c>
      <c r="P26" s="32" t="str">
        <f t="shared" si="7"/>
        <v/>
      </c>
      <c r="Q26" s="31" t="str">
        <f t="shared" si="4"/>
        <v/>
      </c>
      <c r="R26" s="31" t="str">
        <f t="shared" si="5"/>
        <v/>
      </c>
      <c r="T26" s="14">
        <v>29</v>
      </c>
      <c r="U26" s="15">
        <v>1.9096</v>
      </c>
    </row>
    <row r="27" spans="1:21" ht="17" thickBot="1" x14ac:dyDescent="0.25">
      <c r="A27" s="43" t="s">
        <v>34</v>
      </c>
      <c r="B27" s="142"/>
      <c r="F27" s="143"/>
      <c r="G27" s="4"/>
      <c r="H27" s="4"/>
      <c r="I27" s="4"/>
      <c r="J27" s="4"/>
      <c r="K27" s="4"/>
      <c r="L27" s="4" t="str">
        <f t="shared" si="13"/>
        <v/>
      </c>
      <c r="M27" s="33" t="str">
        <f t="shared" si="14"/>
        <v/>
      </c>
      <c r="N27" s="30" t="str">
        <f t="shared" si="15"/>
        <v/>
      </c>
      <c r="O27" s="31" t="str">
        <f t="shared" si="6"/>
        <v/>
      </c>
      <c r="P27" s="32" t="str">
        <f t="shared" si="7"/>
        <v/>
      </c>
      <c r="Q27" s="31" t="str">
        <f t="shared" si="4"/>
        <v/>
      </c>
      <c r="R27" s="31" t="str">
        <f t="shared" si="5"/>
        <v/>
      </c>
      <c r="T27" s="14">
        <v>30</v>
      </c>
      <c r="U27" s="15">
        <v>1.9114</v>
      </c>
    </row>
    <row r="28" spans="1:21" x14ac:dyDescent="0.2">
      <c r="A28" s="42"/>
      <c r="B28" s="142"/>
      <c r="F28" s="143"/>
      <c r="G28" s="4"/>
      <c r="H28" s="4"/>
      <c r="I28" s="4"/>
      <c r="J28" s="4"/>
      <c r="K28" s="4"/>
      <c r="L28" s="4" t="str">
        <f t="shared" si="13"/>
        <v/>
      </c>
      <c r="M28" s="33" t="str">
        <f t="shared" si="14"/>
        <v/>
      </c>
      <c r="N28" s="30" t="str">
        <f t="shared" si="15"/>
        <v/>
      </c>
      <c r="O28" s="31" t="str">
        <f t="shared" si="6"/>
        <v/>
      </c>
      <c r="P28" s="32" t="str">
        <f t="shared" si="7"/>
        <v/>
      </c>
      <c r="Q28" s="31" t="str">
        <f t="shared" si="4"/>
        <v/>
      </c>
      <c r="R28" s="31" t="str">
        <f t="shared" si="5"/>
        <v/>
      </c>
    </row>
    <row r="29" spans="1:21" x14ac:dyDescent="0.2">
      <c r="A29" s="42"/>
      <c r="B29" s="142"/>
      <c r="F29" s="143"/>
      <c r="G29" s="4"/>
      <c r="H29" s="4"/>
      <c r="I29" s="4"/>
      <c r="J29" s="4"/>
      <c r="K29" s="4"/>
      <c r="L29" s="4" t="str">
        <f t="shared" si="13"/>
        <v/>
      </c>
      <c r="M29" s="33" t="str">
        <f t="shared" si="14"/>
        <v/>
      </c>
      <c r="N29" s="30" t="str">
        <f t="shared" si="15"/>
        <v/>
      </c>
      <c r="O29" s="31" t="str">
        <f t="shared" si="6"/>
        <v/>
      </c>
      <c r="P29" s="32" t="str">
        <f t="shared" si="7"/>
        <v/>
      </c>
      <c r="Q29" s="31" t="str">
        <f t="shared" si="4"/>
        <v/>
      </c>
      <c r="R29" s="31" t="str">
        <f t="shared" si="5"/>
        <v/>
      </c>
    </row>
    <row r="30" spans="1:21" x14ac:dyDescent="0.2">
      <c r="A30" s="42"/>
      <c r="B30" s="142"/>
      <c r="F30" s="143"/>
      <c r="G30" s="4"/>
      <c r="H30" s="4"/>
      <c r="I30" s="4"/>
      <c r="J30" s="4"/>
      <c r="K30" s="4"/>
      <c r="L30" s="4" t="str">
        <f t="shared" si="13"/>
        <v/>
      </c>
      <c r="M30" s="33" t="str">
        <f t="shared" si="14"/>
        <v/>
      </c>
      <c r="N30" s="30" t="str">
        <f t="shared" si="15"/>
        <v/>
      </c>
      <c r="O30" s="31" t="str">
        <f t="shared" si="6"/>
        <v/>
      </c>
      <c r="P30" s="32" t="str">
        <f t="shared" si="7"/>
        <v/>
      </c>
      <c r="Q30" s="31" t="str">
        <f t="shared" si="4"/>
        <v/>
      </c>
      <c r="R30" s="31" t="str">
        <f t="shared" si="5"/>
        <v/>
      </c>
    </row>
    <row r="31" spans="1:21" ht="17" thickBot="1" x14ac:dyDescent="0.25">
      <c r="A31" s="44"/>
      <c r="B31" s="144"/>
      <c r="C31" s="60"/>
      <c r="D31" s="60"/>
      <c r="E31" s="60"/>
      <c r="F31" s="145"/>
      <c r="G31" s="34"/>
      <c r="H31" s="34"/>
      <c r="I31" s="34"/>
      <c r="J31" s="34"/>
      <c r="K31" s="34"/>
      <c r="L31" s="34" t="str">
        <f t="shared" si="13"/>
        <v/>
      </c>
      <c r="M31" s="35" t="str">
        <f t="shared" si="14"/>
        <v/>
      </c>
      <c r="N31" s="30" t="str">
        <f t="shared" si="15"/>
        <v/>
      </c>
      <c r="O31" s="31" t="str">
        <f t="shared" si="6"/>
        <v/>
      </c>
      <c r="P31" s="32" t="str">
        <f t="shared" si="7"/>
        <v/>
      </c>
      <c r="Q31" s="31" t="str">
        <f t="shared" si="4"/>
        <v/>
      </c>
      <c r="R31" s="31" t="str">
        <f t="shared" si="5"/>
        <v/>
      </c>
    </row>
    <row r="32" spans="1:21" x14ac:dyDescent="0.2">
      <c r="A32" s="45"/>
      <c r="B32" s="84"/>
      <c r="C32" s="85" t="s">
        <v>10</v>
      </c>
      <c r="D32" s="85"/>
      <c r="E32" s="86" t="s">
        <v>14</v>
      </c>
      <c r="F32" s="87"/>
      <c r="G32" s="87"/>
      <c r="H32" s="87"/>
      <c r="I32" s="88">
        <v>1000</v>
      </c>
      <c r="J32" s="88">
        <f t="shared" ref="J32:J33" si="16">LOG(I32)</f>
        <v>3</v>
      </c>
      <c r="K32" s="89"/>
      <c r="L32" s="28" t="str">
        <f t="shared" ref="L32:L41" si="17">IF(ISNUMBER(F32),AVERAGE($F$32:$F$41),"")</f>
        <v/>
      </c>
      <c r="M32" s="29" t="str">
        <f t="shared" ref="M32:M41" si="18">IF(ISNUMBER(F32),STDEV($F$32:$F$41),"")</f>
        <v/>
      </c>
      <c r="N32" s="30" t="str">
        <f t="shared" ref="N32:N41" si="19">IF(ISNUMBER(G32),VLOOKUP(VALUE(COUNTIF($E$32:$E$41,"NA013")),$T$2:$U$27,2),"")</f>
        <v/>
      </c>
      <c r="O32" s="31" t="str">
        <f t="shared" si="6"/>
        <v/>
      </c>
      <c r="P32" s="32" t="str">
        <f t="shared" si="7"/>
        <v/>
      </c>
      <c r="Q32" s="31" t="str">
        <f t="shared" si="4"/>
        <v/>
      </c>
      <c r="R32" s="31" t="str">
        <f t="shared" si="5"/>
        <v/>
      </c>
    </row>
    <row r="33" spans="1:18" x14ac:dyDescent="0.2">
      <c r="A33" s="46"/>
      <c r="B33" s="84"/>
      <c r="C33" s="85" t="s">
        <v>10</v>
      </c>
      <c r="D33" s="85"/>
      <c r="E33" s="86" t="s">
        <v>14</v>
      </c>
      <c r="F33" s="87"/>
      <c r="G33" s="87"/>
      <c r="H33" s="87"/>
      <c r="I33" s="88">
        <v>1000</v>
      </c>
      <c r="J33" s="88">
        <f t="shared" si="16"/>
        <v>3</v>
      </c>
      <c r="K33" s="89"/>
      <c r="L33" s="4" t="str">
        <f t="shared" si="17"/>
        <v/>
      </c>
      <c r="M33" s="33" t="str">
        <f t="shared" si="18"/>
        <v/>
      </c>
      <c r="N33" s="30" t="str">
        <f t="shared" si="19"/>
        <v/>
      </c>
      <c r="O33" s="31" t="str">
        <f t="shared" si="6"/>
        <v/>
      </c>
      <c r="P33" s="32" t="str">
        <f t="shared" si="7"/>
        <v/>
      </c>
      <c r="Q33" s="31" t="str">
        <f t="shared" si="4"/>
        <v/>
      </c>
      <c r="R33" s="31" t="str">
        <f t="shared" si="5"/>
        <v/>
      </c>
    </row>
    <row r="34" spans="1:18" x14ac:dyDescent="0.2">
      <c r="A34" s="46"/>
      <c r="B34" s="142"/>
      <c r="F34" s="143"/>
      <c r="G34" s="4"/>
      <c r="H34" s="4"/>
      <c r="I34" s="4"/>
      <c r="J34" s="4"/>
      <c r="K34" s="4"/>
      <c r="L34" s="4" t="str">
        <f t="shared" si="17"/>
        <v/>
      </c>
      <c r="M34" s="33" t="str">
        <f t="shared" si="18"/>
        <v/>
      </c>
      <c r="N34" s="30" t="str">
        <f t="shared" si="19"/>
        <v/>
      </c>
      <c r="O34" s="31" t="str">
        <f t="shared" si="6"/>
        <v/>
      </c>
      <c r="P34" s="32" t="str">
        <f t="shared" si="7"/>
        <v/>
      </c>
      <c r="Q34" s="31" t="str">
        <f t="shared" ref="Q34:Q51" si="20">IF(ISNUMBER(F34),IF(G34&gt;(L34+(M34*3)),"FAIL","PASS"),"")</f>
        <v/>
      </c>
      <c r="R34" s="31" t="str">
        <f t="shared" ref="R34:R51" si="21">IF(ISNUMBER(F34),IF(G34&lt;(L34-(M34*3)),"FAIL","PASS"),"")</f>
        <v/>
      </c>
    </row>
    <row r="35" spans="1:18" x14ac:dyDescent="0.2">
      <c r="A35" s="46"/>
      <c r="B35" s="142"/>
      <c r="F35" s="143"/>
      <c r="G35" s="4"/>
      <c r="H35" s="4"/>
      <c r="I35" s="4"/>
      <c r="J35" s="4"/>
      <c r="K35" s="4"/>
      <c r="L35" s="4" t="str">
        <f t="shared" si="17"/>
        <v/>
      </c>
      <c r="M35" s="33" t="str">
        <f t="shared" si="18"/>
        <v/>
      </c>
      <c r="N35" s="30" t="str">
        <f t="shared" si="19"/>
        <v/>
      </c>
      <c r="O35" s="31" t="str">
        <f t="shared" si="6"/>
        <v/>
      </c>
      <c r="P35" s="32" t="str">
        <f t="shared" si="7"/>
        <v/>
      </c>
      <c r="Q35" s="31" t="str">
        <f t="shared" si="20"/>
        <v/>
      </c>
      <c r="R35" s="31" t="str">
        <f t="shared" si="21"/>
        <v/>
      </c>
    </row>
    <row r="36" spans="1:18" x14ac:dyDescent="0.2">
      <c r="A36" s="47" t="s">
        <v>14</v>
      </c>
      <c r="B36" s="142"/>
      <c r="F36" s="143"/>
      <c r="G36" s="4"/>
      <c r="H36" s="4"/>
      <c r="I36" s="4"/>
      <c r="J36" s="4"/>
      <c r="K36" s="4"/>
      <c r="L36" s="4" t="str">
        <f t="shared" si="17"/>
        <v/>
      </c>
      <c r="M36" s="33" t="str">
        <f t="shared" si="18"/>
        <v/>
      </c>
      <c r="N36" s="30" t="str">
        <f t="shared" si="19"/>
        <v/>
      </c>
      <c r="O36" s="31" t="str">
        <f t="shared" si="6"/>
        <v/>
      </c>
      <c r="P36" s="32" t="str">
        <f t="shared" si="7"/>
        <v/>
      </c>
      <c r="Q36" s="31" t="str">
        <f t="shared" si="20"/>
        <v/>
      </c>
      <c r="R36" s="31" t="str">
        <f t="shared" si="21"/>
        <v/>
      </c>
    </row>
    <row r="37" spans="1:18" x14ac:dyDescent="0.2">
      <c r="A37" s="47" t="s">
        <v>34</v>
      </c>
      <c r="B37" s="142"/>
      <c r="F37" s="143"/>
      <c r="G37" s="4"/>
      <c r="H37" s="4"/>
      <c r="I37" s="4"/>
      <c r="J37" s="4"/>
      <c r="K37" s="4"/>
      <c r="L37" s="4" t="str">
        <f t="shared" si="17"/>
        <v/>
      </c>
      <c r="M37" s="33" t="str">
        <f t="shared" si="18"/>
        <v/>
      </c>
      <c r="N37" s="30" t="str">
        <f t="shared" si="19"/>
        <v/>
      </c>
      <c r="O37" s="31" t="str">
        <f t="shared" si="6"/>
        <v/>
      </c>
      <c r="P37" s="32" t="str">
        <f t="shared" si="7"/>
        <v/>
      </c>
      <c r="Q37" s="31" t="str">
        <f t="shared" si="20"/>
        <v/>
      </c>
      <c r="R37" s="31" t="str">
        <f t="shared" si="21"/>
        <v/>
      </c>
    </row>
    <row r="38" spans="1:18" x14ac:dyDescent="0.2">
      <c r="A38" s="46"/>
      <c r="B38" s="142"/>
      <c r="F38" s="143"/>
      <c r="G38" s="4"/>
      <c r="H38" s="4"/>
      <c r="I38" s="4"/>
      <c r="J38" s="4"/>
      <c r="K38" s="4"/>
      <c r="L38" s="4" t="str">
        <f t="shared" si="17"/>
        <v/>
      </c>
      <c r="M38" s="33" t="str">
        <f t="shared" si="18"/>
        <v/>
      </c>
      <c r="N38" s="30" t="str">
        <f t="shared" si="19"/>
        <v/>
      </c>
      <c r="O38" s="31" t="str">
        <f t="shared" si="6"/>
        <v/>
      </c>
      <c r="P38" s="32" t="str">
        <f t="shared" si="7"/>
        <v/>
      </c>
      <c r="Q38" s="31" t="str">
        <f t="shared" si="20"/>
        <v/>
      </c>
      <c r="R38" s="31" t="str">
        <f t="shared" si="21"/>
        <v/>
      </c>
    </row>
    <row r="39" spans="1:18" x14ac:dyDescent="0.2">
      <c r="A39" s="46"/>
      <c r="B39" s="142"/>
      <c r="F39" s="143"/>
      <c r="G39" s="4"/>
      <c r="H39" s="4"/>
      <c r="I39" s="4"/>
      <c r="J39" s="4"/>
      <c r="K39" s="4"/>
      <c r="L39" s="4" t="str">
        <f t="shared" si="17"/>
        <v/>
      </c>
      <c r="M39" s="33" t="str">
        <f t="shared" si="18"/>
        <v/>
      </c>
      <c r="N39" s="30" t="str">
        <f t="shared" si="19"/>
        <v/>
      </c>
      <c r="O39" s="31" t="str">
        <f t="shared" si="6"/>
        <v/>
      </c>
      <c r="P39" s="32" t="str">
        <f t="shared" si="7"/>
        <v/>
      </c>
      <c r="Q39" s="31" t="str">
        <f t="shared" si="20"/>
        <v/>
      </c>
      <c r="R39" s="31" t="str">
        <f t="shared" si="21"/>
        <v/>
      </c>
    </row>
    <row r="40" spans="1:18" x14ac:dyDescent="0.2">
      <c r="A40" s="46"/>
      <c r="B40" s="142"/>
      <c r="F40" s="143"/>
      <c r="G40" s="4"/>
      <c r="H40" s="4"/>
      <c r="I40" s="4"/>
      <c r="J40" s="4"/>
      <c r="K40" s="4"/>
      <c r="L40" s="4" t="str">
        <f t="shared" si="17"/>
        <v/>
      </c>
      <c r="M40" s="33" t="str">
        <f t="shared" si="18"/>
        <v/>
      </c>
      <c r="N40" s="30" t="str">
        <f t="shared" si="19"/>
        <v/>
      </c>
      <c r="O40" s="31" t="str">
        <f t="shared" si="6"/>
        <v/>
      </c>
      <c r="P40" s="32" t="str">
        <f t="shared" si="7"/>
        <v/>
      </c>
      <c r="Q40" s="31" t="str">
        <f t="shared" si="20"/>
        <v/>
      </c>
      <c r="R40" s="31" t="str">
        <f t="shared" si="21"/>
        <v/>
      </c>
    </row>
    <row r="41" spans="1:18" ht="17" thickBot="1" x14ac:dyDescent="0.25">
      <c r="A41" s="48"/>
      <c r="B41" s="144"/>
      <c r="C41" s="60"/>
      <c r="D41" s="60"/>
      <c r="E41" s="60"/>
      <c r="F41" s="145"/>
      <c r="G41" s="34"/>
      <c r="H41" s="34"/>
      <c r="I41" s="34"/>
      <c r="J41" s="34"/>
      <c r="K41" s="34"/>
      <c r="L41" s="34" t="str">
        <f t="shared" si="17"/>
        <v/>
      </c>
      <c r="M41" s="35" t="str">
        <f t="shared" si="18"/>
        <v/>
      </c>
      <c r="N41" s="30" t="str">
        <f t="shared" si="19"/>
        <v/>
      </c>
      <c r="O41" s="31" t="str">
        <f t="shared" si="6"/>
        <v/>
      </c>
      <c r="P41" s="32" t="str">
        <f t="shared" si="7"/>
        <v/>
      </c>
      <c r="Q41" s="31" t="str">
        <f t="shared" si="20"/>
        <v/>
      </c>
      <c r="R41" s="31" t="str">
        <f t="shared" si="21"/>
        <v/>
      </c>
    </row>
    <row r="42" spans="1:18" x14ac:dyDescent="0.2">
      <c r="A42" s="49"/>
      <c r="B42" s="84"/>
      <c r="C42" s="85" t="s">
        <v>10</v>
      </c>
      <c r="D42" s="85"/>
      <c r="E42" s="86" t="s">
        <v>15</v>
      </c>
      <c r="F42" s="87"/>
      <c r="G42" s="87"/>
      <c r="H42" s="87"/>
      <c r="I42" s="88">
        <v>100</v>
      </c>
      <c r="J42" s="88">
        <f t="shared" ref="J42:J43" si="22">LOG(I42)</f>
        <v>2</v>
      </c>
      <c r="K42" s="89"/>
      <c r="L42" s="28" t="str">
        <f t="shared" ref="L42:L51" si="23">IF(ISNUMBER(F42),AVERAGE($F$42:$F$51),"")</f>
        <v/>
      </c>
      <c r="M42" s="29" t="str">
        <f t="shared" ref="M42:M51" si="24">IF(ISNUMBER(F42),STDEV($F$42:$F$51),"")</f>
        <v/>
      </c>
      <c r="N42" s="30" t="str">
        <f t="shared" ref="N42:N51" si="25">IF(ISNUMBER(G42),VLOOKUP(VALUE(COUNTIF($E$42:$E$51,"NA012")),$T$2:$U$27,2),"")</f>
        <v/>
      </c>
      <c r="O42" s="31" t="str">
        <f t="shared" si="6"/>
        <v/>
      </c>
      <c r="P42" s="32" t="str">
        <f t="shared" si="7"/>
        <v/>
      </c>
      <c r="Q42" s="31" t="str">
        <f t="shared" si="20"/>
        <v/>
      </c>
      <c r="R42" s="31" t="str">
        <f t="shared" si="21"/>
        <v/>
      </c>
    </row>
    <row r="43" spans="1:18" x14ac:dyDescent="0.2">
      <c r="A43" s="50"/>
      <c r="B43" s="84"/>
      <c r="C43" s="85" t="s">
        <v>10</v>
      </c>
      <c r="D43" s="85"/>
      <c r="E43" s="86" t="s">
        <v>15</v>
      </c>
      <c r="F43" s="87"/>
      <c r="G43" s="87"/>
      <c r="H43" s="87"/>
      <c r="I43" s="88">
        <v>100</v>
      </c>
      <c r="J43" s="88">
        <f t="shared" si="22"/>
        <v>2</v>
      </c>
      <c r="K43" s="89"/>
      <c r="L43" s="4" t="str">
        <f t="shared" si="23"/>
        <v/>
      </c>
      <c r="M43" s="33" t="str">
        <f t="shared" si="24"/>
        <v/>
      </c>
      <c r="N43" s="30" t="str">
        <f t="shared" si="25"/>
        <v/>
      </c>
      <c r="O43" s="31" t="str">
        <f t="shared" si="6"/>
        <v/>
      </c>
      <c r="P43" s="32" t="str">
        <f t="shared" si="7"/>
        <v/>
      </c>
      <c r="Q43" s="31" t="str">
        <f t="shared" si="20"/>
        <v/>
      </c>
      <c r="R43" s="31" t="str">
        <f t="shared" si="21"/>
        <v/>
      </c>
    </row>
    <row r="44" spans="1:18" x14ac:dyDescent="0.2">
      <c r="A44" s="50"/>
      <c r="B44" s="142"/>
      <c r="F44" s="143"/>
      <c r="G44" s="4"/>
      <c r="H44" s="4"/>
      <c r="I44" s="4"/>
      <c r="J44" s="4"/>
      <c r="K44" s="4"/>
      <c r="L44" s="4" t="str">
        <f t="shared" si="23"/>
        <v/>
      </c>
      <c r="M44" s="33" t="str">
        <f t="shared" si="24"/>
        <v/>
      </c>
      <c r="N44" s="30" t="str">
        <f t="shared" si="25"/>
        <v/>
      </c>
      <c r="O44" s="31" t="str">
        <f t="shared" si="6"/>
        <v/>
      </c>
      <c r="P44" s="32" t="str">
        <f t="shared" si="7"/>
        <v/>
      </c>
      <c r="Q44" s="31" t="str">
        <f t="shared" si="20"/>
        <v/>
      </c>
      <c r="R44" s="31" t="str">
        <f t="shared" si="21"/>
        <v/>
      </c>
    </row>
    <row r="45" spans="1:18" x14ac:dyDescent="0.2">
      <c r="A45" s="50"/>
      <c r="B45" s="142"/>
      <c r="F45" s="143"/>
      <c r="G45" s="4"/>
      <c r="H45" s="4"/>
      <c r="I45" s="4"/>
      <c r="J45" s="4"/>
      <c r="K45" s="4"/>
      <c r="L45" s="4" t="str">
        <f t="shared" si="23"/>
        <v/>
      </c>
      <c r="M45" s="33" t="str">
        <f t="shared" si="24"/>
        <v/>
      </c>
      <c r="N45" s="30" t="str">
        <f t="shared" si="25"/>
        <v/>
      </c>
      <c r="O45" s="31" t="str">
        <f t="shared" si="6"/>
        <v/>
      </c>
      <c r="P45" s="32" t="str">
        <f t="shared" si="7"/>
        <v/>
      </c>
      <c r="Q45" s="31" t="str">
        <f t="shared" si="20"/>
        <v/>
      </c>
      <c r="R45" s="31" t="str">
        <f t="shared" si="21"/>
        <v/>
      </c>
    </row>
    <row r="46" spans="1:18" x14ac:dyDescent="0.2">
      <c r="A46" s="51" t="s">
        <v>15</v>
      </c>
      <c r="B46" s="142"/>
      <c r="F46" s="143"/>
      <c r="G46" s="4"/>
      <c r="H46" s="4"/>
      <c r="I46" s="4"/>
      <c r="J46" s="4"/>
      <c r="K46" s="4"/>
      <c r="L46" s="4" t="str">
        <f t="shared" si="23"/>
        <v/>
      </c>
      <c r="M46" s="33" t="str">
        <f t="shared" si="24"/>
        <v/>
      </c>
      <c r="N46" s="30" t="str">
        <f t="shared" si="25"/>
        <v/>
      </c>
      <c r="O46" s="31" t="str">
        <f t="shared" si="6"/>
        <v/>
      </c>
      <c r="P46" s="32" t="str">
        <f t="shared" si="7"/>
        <v/>
      </c>
      <c r="Q46" s="31" t="str">
        <f t="shared" si="20"/>
        <v/>
      </c>
      <c r="R46" s="31" t="str">
        <f t="shared" si="21"/>
        <v/>
      </c>
    </row>
    <row r="47" spans="1:18" x14ac:dyDescent="0.2">
      <c r="A47" s="51" t="s">
        <v>34</v>
      </c>
      <c r="B47" s="142"/>
      <c r="F47" s="143"/>
      <c r="G47" s="4"/>
      <c r="H47" s="4"/>
      <c r="I47" s="4"/>
      <c r="J47" s="4"/>
      <c r="K47" s="4"/>
      <c r="L47" s="4" t="str">
        <f t="shared" si="23"/>
        <v/>
      </c>
      <c r="M47" s="33" t="str">
        <f t="shared" si="24"/>
        <v/>
      </c>
      <c r="N47" s="30" t="str">
        <f t="shared" si="25"/>
        <v/>
      </c>
      <c r="O47" s="31" t="str">
        <f t="shared" si="6"/>
        <v/>
      </c>
      <c r="P47" s="32" t="str">
        <f t="shared" si="7"/>
        <v/>
      </c>
      <c r="Q47" s="31" t="str">
        <f t="shared" si="20"/>
        <v/>
      </c>
      <c r="R47" s="31" t="str">
        <f t="shared" si="21"/>
        <v/>
      </c>
    </row>
    <row r="48" spans="1:18" x14ac:dyDescent="0.2">
      <c r="A48" s="50"/>
      <c r="B48" s="142"/>
      <c r="F48" s="143"/>
      <c r="G48" s="4"/>
      <c r="H48" s="4"/>
      <c r="I48" s="4"/>
      <c r="J48" s="4"/>
      <c r="K48" s="4"/>
      <c r="L48" s="4" t="str">
        <f t="shared" si="23"/>
        <v/>
      </c>
      <c r="M48" s="33" t="str">
        <f t="shared" si="24"/>
        <v/>
      </c>
      <c r="N48" s="30" t="str">
        <f t="shared" si="25"/>
        <v/>
      </c>
      <c r="O48" s="31" t="str">
        <f t="shared" si="6"/>
        <v/>
      </c>
      <c r="P48" s="32" t="str">
        <f t="shared" si="7"/>
        <v/>
      </c>
      <c r="Q48" s="31" t="str">
        <f t="shared" si="20"/>
        <v/>
      </c>
      <c r="R48" s="31" t="str">
        <f t="shared" si="21"/>
        <v/>
      </c>
    </row>
    <row r="49" spans="1:18" x14ac:dyDescent="0.2">
      <c r="A49" s="50"/>
      <c r="B49" s="142"/>
      <c r="F49" s="143"/>
      <c r="G49" s="4"/>
      <c r="H49" s="4"/>
      <c r="I49" s="4"/>
      <c r="J49" s="4"/>
      <c r="K49" s="4"/>
      <c r="L49" s="4" t="str">
        <f t="shared" si="23"/>
        <v/>
      </c>
      <c r="M49" s="33" t="str">
        <f t="shared" si="24"/>
        <v/>
      </c>
      <c r="N49" s="30" t="str">
        <f t="shared" si="25"/>
        <v/>
      </c>
      <c r="O49" s="31" t="str">
        <f t="shared" si="6"/>
        <v/>
      </c>
      <c r="P49" s="32" t="str">
        <f t="shared" si="7"/>
        <v/>
      </c>
      <c r="Q49" s="31" t="str">
        <f t="shared" si="20"/>
        <v/>
      </c>
      <c r="R49" s="31" t="str">
        <f t="shared" si="21"/>
        <v/>
      </c>
    </row>
    <row r="50" spans="1:18" x14ac:dyDescent="0.2">
      <c r="A50" s="50"/>
      <c r="B50" s="142"/>
      <c r="F50" s="143"/>
      <c r="G50" s="4"/>
      <c r="H50" s="4"/>
      <c r="I50" s="4"/>
      <c r="J50" s="4"/>
      <c r="K50" s="4"/>
      <c r="L50" s="4" t="str">
        <f t="shared" si="23"/>
        <v/>
      </c>
      <c r="M50" s="33" t="str">
        <f t="shared" si="24"/>
        <v/>
      </c>
      <c r="N50" s="30" t="str">
        <f t="shared" si="25"/>
        <v/>
      </c>
      <c r="O50" s="31" t="str">
        <f t="shared" si="6"/>
        <v/>
      </c>
      <c r="P50" s="32" t="str">
        <f t="shared" si="7"/>
        <v/>
      </c>
      <c r="Q50" s="31" t="str">
        <f t="shared" si="20"/>
        <v/>
      </c>
      <c r="R50" s="31" t="str">
        <f t="shared" si="21"/>
        <v/>
      </c>
    </row>
    <row r="51" spans="1:18" ht="17" thickBot="1" x14ac:dyDescent="0.25">
      <c r="A51" s="52"/>
      <c r="B51" s="144"/>
      <c r="C51" s="60"/>
      <c r="D51" s="60"/>
      <c r="E51" s="60"/>
      <c r="F51" s="145"/>
      <c r="G51" s="34"/>
      <c r="H51" s="34"/>
      <c r="I51" s="34"/>
      <c r="J51" s="34"/>
      <c r="K51" s="34"/>
      <c r="L51" s="34" t="str">
        <f t="shared" si="23"/>
        <v/>
      </c>
      <c r="M51" s="35" t="str">
        <f t="shared" si="24"/>
        <v/>
      </c>
      <c r="N51" s="30" t="str">
        <f t="shared" si="25"/>
        <v/>
      </c>
      <c r="O51" s="31" t="str">
        <f t="shared" si="6"/>
        <v/>
      </c>
      <c r="P51" s="32" t="str">
        <f t="shared" si="7"/>
        <v/>
      </c>
      <c r="Q51" s="31" t="str">
        <f t="shared" si="20"/>
        <v/>
      </c>
      <c r="R51" s="31" t="str">
        <f t="shared" si="21"/>
        <v/>
      </c>
    </row>
    <row r="55" spans="1:18" x14ac:dyDescent="0.2">
      <c r="M55" s="36"/>
    </row>
  </sheetData>
  <conditionalFormatting sqref="O2:R51">
    <cfRule type="colorScale" priority="169">
      <colorScale>
        <cfvo type="formula" val="&quot;#VALUE!&quot;"/>
        <cfvo type="max"/>
        <color theme="0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346FA-F954-0041-98C3-837D010EC333}">
  <dimension ref="A1:I100"/>
  <sheetViews>
    <sheetView workbookViewId="0">
      <selection activeCell="A2" sqref="A2"/>
    </sheetView>
  </sheetViews>
  <sheetFormatPr baseColWidth="10" defaultRowHeight="16" x14ac:dyDescent="0.2"/>
  <cols>
    <col min="1" max="1" width="12" bestFit="1" customWidth="1"/>
    <col min="2" max="2" width="12.83203125" bestFit="1" customWidth="1"/>
    <col min="3" max="3" width="32.1640625" bestFit="1" customWidth="1"/>
    <col min="4" max="4" width="8.33203125" bestFit="1" customWidth="1"/>
    <col min="5" max="5" width="10.33203125" bestFit="1" customWidth="1"/>
    <col min="6" max="6" width="15.5" bestFit="1" customWidth="1"/>
    <col min="7" max="7" width="17.6640625" bestFit="1" customWidth="1"/>
    <col min="8" max="8" width="47.5" style="78" customWidth="1"/>
    <col min="9" max="9" width="16.33203125" bestFit="1" customWidth="1"/>
  </cols>
  <sheetData>
    <row r="1" spans="1:9" s="1" customFormat="1" x14ac:dyDescent="0.2">
      <c r="A1" s="100" t="s">
        <v>57</v>
      </c>
      <c r="B1" s="100" t="s">
        <v>36</v>
      </c>
      <c r="C1" s="100" t="s">
        <v>58</v>
      </c>
      <c r="D1" s="100" t="s">
        <v>59</v>
      </c>
      <c r="E1" s="100" t="s">
        <v>4</v>
      </c>
      <c r="F1" s="100" t="s">
        <v>5</v>
      </c>
      <c r="G1" s="100" t="s">
        <v>6</v>
      </c>
      <c r="H1" s="100" t="s">
        <v>56</v>
      </c>
      <c r="I1" s="100" t="s">
        <v>65</v>
      </c>
    </row>
    <row r="2" spans="1:9" ht="16" customHeight="1" x14ac:dyDescent="0.2">
      <c r="A2" s="101"/>
      <c r="B2" s="101"/>
      <c r="C2" s="81"/>
      <c r="D2" s="102"/>
      <c r="E2" s="103"/>
      <c r="F2" s="104"/>
      <c r="G2" s="104"/>
      <c r="H2" s="101"/>
      <c r="I2" s="105" t="str">
        <f>IF(ISNUMBER(E2),IF(E2&gt;36,"PASS","FAIL"),"")</f>
        <v/>
      </c>
    </row>
    <row r="3" spans="1:9" ht="16" customHeight="1" x14ac:dyDescent="0.2">
      <c r="A3" s="101"/>
      <c r="B3" s="101"/>
      <c r="C3" s="81"/>
      <c r="D3" s="102"/>
      <c r="E3" s="103"/>
      <c r="F3" s="104"/>
      <c r="G3" s="104"/>
      <c r="H3" s="101"/>
      <c r="I3" s="105" t="str">
        <f t="shared" ref="I3:I66" si="0">IF(ISNUMBER(E3),IF(E3&gt;36,"PASS","FAIL"),"")</f>
        <v/>
      </c>
    </row>
    <row r="4" spans="1:9" ht="16" customHeight="1" x14ac:dyDescent="0.2">
      <c r="A4" s="101"/>
      <c r="B4" s="101"/>
      <c r="C4" s="81"/>
      <c r="D4" s="102"/>
      <c r="E4" s="103"/>
      <c r="F4" s="104"/>
      <c r="G4" s="104"/>
      <c r="H4" s="106"/>
      <c r="I4" s="105" t="str">
        <f t="shared" si="0"/>
        <v/>
      </c>
    </row>
    <row r="5" spans="1:9" ht="16" customHeight="1" x14ac:dyDescent="0.2">
      <c r="A5" s="101"/>
      <c r="B5" s="101"/>
      <c r="C5" s="81"/>
      <c r="D5" s="102"/>
      <c r="E5" s="103"/>
      <c r="F5" s="104"/>
      <c r="G5" s="104"/>
      <c r="H5" s="106"/>
      <c r="I5" s="105" t="str">
        <f t="shared" si="0"/>
        <v/>
      </c>
    </row>
    <row r="6" spans="1:9" ht="16" customHeight="1" x14ac:dyDescent="0.2">
      <c r="A6" s="101"/>
      <c r="B6" s="101"/>
      <c r="C6" s="81"/>
      <c r="D6" s="102"/>
      <c r="E6" s="103"/>
      <c r="F6" s="104"/>
      <c r="G6" s="104"/>
      <c r="H6" s="107"/>
      <c r="I6" s="105" t="str">
        <f t="shared" si="0"/>
        <v/>
      </c>
    </row>
    <row r="7" spans="1:9" ht="16" customHeight="1" x14ac:dyDescent="0.2">
      <c r="A7" s="101"/>
      <c r="B7" s="101"/>
      <c r="C7" s="81"/>
      <c r="D7" s="102"/>
      <c r="E7" s="103"/>
      <c r="F7" s="104"/>
      <c r="G7" s="104"/>
      <c r="H7" s="107"/>
      <c r="I7" s="105" t="str">
        <f t="shared" si="0"/>
        <v/>
      </c>
    </row>
    <row r="8" spans="1:9" x14ac:dyDescent="0.2">
      <c r="A8" s="101"/>
      <c r="B8" s="81"/>
      <c r="C8" s="81"/>
      <c r="D8" s="102"/>
      <c r="E8" s="104"/>
      <c r="F8" s="104"/>
      <c r="G8" s="104"/>
      <c r="H8" s="108"/>
      <c r="I8" s="105" t="str">
        <f t="shared" si="0"/>
        <v/>
      </c>
    </row>
    <row r="9" spans="1:9" x14ac:dyDescent="0.2">
      <c r="A9" s="80"/>
      <c r="D9" s="61"/>
      <c r="E9" s="24"/>
      <c r="F9" s="24"/>
      <c r="G9" s="24"/>
      <c r="H9" s="79"/>
      <c r="I9" s="105" t="str">
        <f t="shared" si="0"/>
        <v/>
      </c>
    </row>
    <row r="10" spans="1:9" x14ac:dyDescent="0.2">
      <c r="A10" s="80"/>
      <c r="D10" s="61"/>
      <c r="E10" s="24"/>
      <c r="F10" s="24"/>
      <c r="G10" s="24"/>
      <c r="H10" s="79"/>
      <c r="I10" s="105" t="str">
        <f t="shared" si="0"/>
        <v/>
      </c>
    </row>
    <row r="11" spans="1:9" x14ac:dyDescent="0.2">
      <c r="A11" s="80"/>
      <c r="D11" s="61"/>
      <c r="E11" s="24"/>
      <c r="F11" s="24"/>
      <c r="G11" s="24"/>
      <c r="H11" s="79"/>
      <c r="I11" s="105" t="str">
        <f t="shared" si="0"/>
        <v/>
      </c>
    </row>
    <row r="12" spans="1:9" x14ac:dyDescent="0.2">
      <c r="D12" s="61"/>
      <c r="E12" s="24"/>
      <c r="F12" s="24"/>
      <c r="G12" s="24"/>
      <c r="H12" s="79"/>
      <c r="I12" s="105" t="str">
        <f t="shared" si="0"/>
        <v/>
      </c>
    </row>
    <row r="13" spans="1:9" x14ac:dyDescent="0.2">
      <c r="D13" s="61"/>
      <c r="E13" s="24"/>
      <c r="F13" s="24"/>
      <c r="G13" s="24"/>
      <c r="H13" s="79"/>
      <c r="I13" s="105" t="str">
        <f t="shared" si="0"/>
        <v/>
      </c>
    </row>
    <row r="14" spans="1:9" x14ac:dyDescent="0.2">
      <c r="D14" s="61"/>
      <c r="E14" s="24"/>
      <c r="F14" s="24"/>
      <c r="G14" s="24"/>
      <c r="H14" s="79"/>
      <c r="I14" s="105" t="str">
        <f t="shared" si="0"/>
        <v/>
      </c>
    </row>
    <row r="15" spans="1:9" x14ac:dyDescent="0.2">
      <c r="D15" s="61"/>
      <c r="E15" s="24"/>
      <c r="F15" s="24"/>
      <c r="G15" s="24"/>
      <c r="H15" s="79"/>
      <c r="I15" s="105" t="str">
        <f t="shared" si="0"/>
        <v/>
      </c>
    </row>
    <row r="16" spans="1:9" x14ac:dyDescent="0.2">
      <c r="D16" s="61"/>
      <c r="E16" s="24"/>
      <c r="F16" s="24"/>
      <c r="G16" s="24"/>
      <c r="H16" s="79"/>
      <c r="I16" s="105" t="str">
        <f t="shared" si="0"/>
        <v/>
      </c>
    </row>
    <row r="17" spans="4:9" x14ac:dyDescent="0.2">
      <c r="D17" s="61"/>
      <c r="E17" s="24"/>
      <c r="F17" s="24"/>
      <c r="G17" s="24"/>
      <c r="H17" s="79"/>
      <c r="I17" s="105" t="str">
        <f t="shared" si="0"/>
        <v/>
      </c>
    </row>
    <row r="18" spans="4:9" x14ac:dyDescent="0.2">
      <c r="I18" s="105" t="str">
        <f t="shared" si="0"/>
        <v/>
      </c>
    </row>
    <row r="19" spans="4:9" x14ac:dyDescent="0.2">
      <c r="I19" s="105" t="str">
        <f t="shared" si="0"/>
        <v/>
      </c>
    </row>
    <row r="20" spans="4:9" x14ac:dyDescent="0.2">
      <c r="I20" s="105" t="str">
        <f t="shared" si="0"/>
        <v/>
      </c>
    </row>
    <row r="21" spans="4:9" x14ac:dyDescent="0.2">
      <c r="I21" s="105" t="str">
        <f t="shared" si="0"/>
        <v/>
      </c>
    </row>
    <row r="22" spans="4:9" x14ac:dyDescent="0.2">
      <c r="I22" s="105" t="str">
        <f t="shared" si="0"/>
        <v/>
      </c>
    </row>
    <row r="23" spans="4:9" x14ac:dyDescent="0.2">
      <c r="I23" s="105" t="str">
        <f t="shared" si="0"/>
        <v/>
      </c>
    </row>
    <row r="24" spans="4:9" x14ac:dyDescent="0.2">
      <c r="I24" s="105" t="str">
        <f t="shared" si="0"/>
        <v/>
      </c>
    </row>
    <row r="25" spans="4:9" x14ac:dyDescent="0.2">
      <c r="I25" s="105" t="str">
        <f t="shared" si="0"/>
        <v/>
      </c>
    </row>
    <row r="26" spans="4:9" x14ac:dyDescent="0.2">
      <c r="I26" s="105" t="str">
        <f t="shared" si="0"/>
        <v/>
      </c>
    </row>
    <row r="27" spans="4:9" x14ac:dyDescent="0.2">
      <c r="I27" s="105" t="str">
        <f t="shared" si="0"/>
        <v/>
      </c>
    </row>
    <row r="28" spans="4:9" x14ac:dyDescent="0.2">
      <c r="I28" s="105" t="str">
        <f t="shared" si="0"/>
        <v/>
      </c>
    </row>
    <row r="29" spans="4:9" x14ac:dyDescent="0.2">
      <c r="I29" s="105" t="str">
        <f t="shared" si="0"/>
        <v/>
      </c>
    </row>
    <row r="30" spans="4:9" x14ac:dyDescent="0.2">
      <c r="I30" s="105" t="str">
        <f t="shared" si="0"/>
        <v/>
      </c>
    </row>
    <row r="31" spans="4:9" x14ac:dyDescent="0.2">
      <c r="I31" s="105" t="str">
        <f t="shared" si="0"/>
        <v/>
      </c>
    </row>
    <row r="32" spans="4:9" x14ac:dyDescent="0.2">
      <c r="I32" s="105" t="str">
        <f t="shared" si="0"/>
        <v/>
      </c>
    </row>
    <row r="33" spans="9:9" x14ac:dyDescent="0.2">
      <c r="I33" s="105" t="str">
        <f t="shared" si="0"/>
        <v/>
      </c>
    </row>
    <row r="34" spans="9:9" x14ac:dyDescent="0.2">
      <c r="I34" s="105" t="str">
        <f t="shared" si="0"/>
        <v/>
      </c>
    </row>
    <row r="35" spans="9:9" x14ac:dyDescent="0.2">
      <c r="I35" s="105" t="str">
        <f t="shared" si="0"/>
        <v/>
      </c>
    </row>
    <row r="36" spans="9:9" x14ac:dyDescent="0.2">
      <c r="I36" s="105" t="str">
        <f t="shared" si="0"/>
        <v/>
      </c>
    </row>
    <row r="37" spans="9:9" x14ac:dyDescent="0.2">
      <c r="I37" s="105" t="str">
        <f t="shared" si="0"/>
        <v/>
      </c>
    </row>
    <row r="38" spans="9:9" x14ac:dyDescent="0.2">
      <c r="I38" s="105" t="str">
        <f t="shared" si="0"/>
        <v/>
      </c>
    </row>
    <row r="39" spans="9:9" x14ac:dyDescent="0.2">
      <c r="I39" s="105" t="str">
        <f t="shared" si="0"/>
        <v/>
      </c>
    </row>
    <row r="40" spans="9:9" x14ac:dyDescent="0.2">
      <c r="I40" s="105" t="str">
        <f t="shared" si="0"/>
        <v/>
      </c>
    </row>
    <row r="41" spans="9:9" x14ac:dyDescent="0.2">
      <c r="I41" s="105" t="str">
        <f t="shared" si="0"/>
        <v/>
      </c>
    </row>
    <row r="42" spans="9:9" x14ac:dyDescent="0.2">
      <c r="I42" s="105" t="str">
        <f t="shared" si="0"/>
        <v/>
      </c>
    </row>
    <row r="43" spans="9:9" x14ac:dyDescent="0.2">
      <c r="I43" s="105" t="str">
        <f t="shared" si="0"/>
        <v/>
      </c>
    </row>
    <row r="44" spans="9:9" x14ac:dyDescent="0.2">
      <c r="I44" s="105" t="str">
        <f t="shared" si="0"/>
        <v/>
      </c>
    </row>
    <row r="45" spans="9:9" x14ac:dyDescent="0.2">
      <c r="I45" s="105" t="str">
        <f t="shared" si="0"/>
        <v/>
      </c>
    </row>
    <row r="46" spans="9:9" x14ac:dyDescent="0.2">
      <c r="I46" s="105" t="str">
        <f t="shared" si="0"/>
        <v/>
      </c>
    </row>
    <row r="47" spans="9:9" x14ac:dyDescent="0.2">
      <c r="I47" s="105" t="str">
        <f t="shared" si="0"/>
        <v/>
      </c>
    </row>
    <row r="48" spans="9:9" x14ac:dyDescent="0.2">
      <c r="I48" s="105" t="str">
        <f t="shared" si="0"/>
        <v/>
      </c>
    </row>
    <row r="49" spans="9:9" x14ac:dyDescent="0.2">
      <c r="I49" s="105" t="str">
        <f t="shared" si="0"/>
        <v/>
      </c>
    </row>
    <row r="50" spans="9:9" x14ac:dyDescent="0.2">
      <c r="I50" s="105" t="str">
        <f t="shared" si="0"/>
        <v/>
      </c>
    </row>
    <row r="51" spans="9:9" x14ac:dyDescent="0.2">
      <c r="I51" s="105" t="str">
        <f t="shared" si="0"/>
        <v/>
      </c>
    </row>
    <row r="52" spans="9:9" x14ac:dyDescent="0.2">
      <c r="I52" s="105" t="str">
        <f t="shared" si="0"/>
        <v/>
      </c>
    </row>
    <row r="53" spans="9:9" x14ac:dyDescent="0.2">
      <c r="I53" s="105" t="str">
        <f t="shared" si="0"/>
        <v/>
      </c>
    </row>
    <row r="54" spans="9:9" x14ac:dyDescent="0.2">
      <c r="I54" s="105" t="str">
        <f t="shared" si="0"/>
        <v/>
      </c>
    </row>
    <row r="55" spans="9:9" x14ac:dyDescent="0.2">
      <c r="I55" s="105" t="str">
        <f t="shared" si="0"/>
        <v/>
      </c>
    </row>
    <row r="56" spans="9:9" x14ac:dyDescent="0.2">
      <c r="I56" s="105" t="str">
        <f t="shared" si="0"/>
        <v/>
      </c>
    </row>
    <row r="57" spans="9:9" x14ac:dyDescent="0.2">
      <c r="I57" s="105" t="str">
        <f t="shared" si="0"/>
        <v/>
      </c>
    </row>
    <row r="58" spans="9:9" x14ac:dyDescent="0.2">
      <c r="I58" s="105" t="str">
        <f t="shared" si="0"/>
        <v/>
      </c>
    </row>
    <row r="59" spans="9:9" x14ac:dyDescent="0.2">
      <c r="I59" s="105" t="str">
        <f t="shared" si="0"/>
        <v/>
      </c>
    </row>
    <row r="60" spans="9:9" x14ac:dyDescent="0.2">
      <c r="I60" s="105" t="str">
        <f t="shared" si="0"/>
        <v/>
      </c>
    </row>
    <row r="61" spans="9:9" x14ac:dyDescent="0.2">
      <c r="I61" s="105" t="str">
        <f t="shared" si="0"/>
        <v/>
      </c>
    </row>
    <row r="62" spans="9:9" x14ac:dyDescent="0.2">
      <c r="I62" s="105" t="str">
        <f t="shared" si="0"/>
        <v/>
      </c>
    </row>
    <row r="63" spans="9:9" x14ac:dyDescent="0.2">
      <c r="I63" s="105" t="str">
        <f t="shared" si="0"/>
        <v/>
      </c>
    </row>
    <row r="64" spans="9:9" x14ac:dyDescent="0.2">
      <c r="I64" s="105" t="str">
        <f t="shared" si="0"/>
        <v/>
      </c>
    </row>
    <row r="65" spans="9:9" x14ac:dyDescent="0.2">
      <c r="I65" s="105" t="str">
        <f t="shared" si="0"/>
        <v/>
      </c>
    </row>
    <row r="66" spans="9:9" x14ac:dyDescent="0.2">
      <c r="I66" s="105" t="str">
        <f t="shared" si="0"/>
        <v/>
      </c>
    </row>
    <row r="67" spans="9:9" x14ac:dyDescent="0.2">
      <c r="I67" s="105" t="str">
        <f t="shared" ref="I67:I100" si="1">IF(ISNUMBER(E67),IF(E67&gt;36,"PASS","FAIL"),"")</f>
        <v/>
      </c>
    </row>
    <row r="68" spans="9:9" x14ac:dyDescent="0.2">
      <c r="I68" s="105" t="str">
        <f t="shared" si="1"/>
        <v/>
      </c>
    </row>
    <row r="69" spans="9:9" x14ac:dyDescent="0.2">
      <c r="I69" s="105" t="str">
        <f t="shared" si="1"/>
        <v/>
      </c>
    </row>
    <row r="70" spans="9:9" x14ac:dyDescent="0.2">
      <c r="I70" s="105" t="str">
        <f t="shared" si="1"/>
        <v/>
      </c>
    </row>
    <row r="71" spans="9:9" x14ac:dyDescent="0.2">
      <c r="I71" s="105" t="str">
        <f t="shared" si="1"/>
        <v/>
      </c>
    </row>
    <row r="72" spans="9:9" x14ac:dyDescent="0.2">
      <c r="I72" s="105" t="str">
        <f t="shared" si="1"/>
        <v/>
      </c>
    </row>
    <row r="73" spans="9:9" x14ac:dyDescent="0.2">
      <c r="I73" s="105" t="str">
        <f t="shared" si="1"/>
        <v/>
      </c>
    </row>
    <row r="74" spans="9:9" x14ac:dyDescent="0.2">
      <c r="I74" s="105" t="str">
        <f t="shared" si="1"/>
        <v/>
      </c>
    </row>
    <row r="75" spans="9:9" x14ac:dyDescent="0.2">
      <c r="I75" s="105" t="str">
        <f t="shared" si="1"/>
        <v/>
      </c>
    </row>
    <row r="76" spans="9:9" x14ac:dyDescent="0.2">
      <c r="I76" s="105" t="str">
        <f t="shared" si="1"/>
        <v/>
      </c>
    </row>
    <row r="77" spans="9:9" x14ac:dyDescent="0.2">
      <c r="I77" s="105" t="str">
        <f t="shared" si="1"/>
        <v/>
      </c>
    </row>
    <row r="78" spans="9:9" x14ac:dyDescent="0.2">
      <c r="I78" s="105" t="str">
        <f t="shared" si="1"/>
        <v/>
      </c>
    </row>
    <row r="79" spans="9:9" x14ac:dyDescent="0.2">
      <c r="I79" s="105" t="str">
        <f t="shared" si="1"/>
        <v/>
      </c>
    </row>
    <row r="80" spans="9:9" x14ac:dyDescent="0.2">
      <c r="I80" s="105" t="str">
        <f t="shared" si="1"/>
        <v/>
      </c>
    </row>
    <row r="81" spans="9:9" x14ac:dyDescent="0.2">
      <c r="I81" s="105" t="str">
        <f t="shared" si="1"/>
        <v/>
      </c>
    </row>
    <row r="82" spans="9:9" x14ac:dyDescent="0.2">
      <c r="I82" s="105" t="str">
        <f t="shared" si="1"/>
        <v/>
      </c>
    </row>
    <row r="83" spans="9:9" x14ac:dyDescent="0.2">
      <c r="I83" s="105" t="str">
        <f t="shared" si="1"/>
        <v/>
      </c>
    </row>
    <row r="84" spans="9:9" x14ac:dyDescent="0.2">
      <c r="I84" s="105" t="str">
        <f t="shared" si="1"/>
        <v/>
      </c>
    </row>
    <row r="85" spans="9:9" x14ac:dyDescent="0.2">
      <c r="I85" s="105" t="str">
        <f t="shared" si="1"/>
        <v/>
      </c>
    </row>
    <row r="86" spans="9:9" x14ac:dyDescent="0.2">
      <c r="I86" s="105" t="str">
        <f t="shared" si="1"/>
        <v/>
      </c>
    </row>
    <row r="87" spans="9:9" x14ac:dyDescent="0.2">
      <c r="I87" s="105" t="str">
        <f t="shared" si="1"/>
        <v/>
      </c>
    </row>
    <row r="88" spans="9:9" x14ac:dyDescent="0.2">
      <c r="I88" s="105" t="str">
        <f t="shared" si="1"/>
        <v/>
      </c>
    </row>
    <row r="89" spans="9:9" x14ac:dyDescent="0.2">
      <c r="I89" s="105" t="str">
        <f t="shared" si="1"/>
        <v/>
      </c>
    </row>
    <row r="90" spans="9:9" x14ac:dyDescent="0.2">
      <c r="I90" s="105" t="str">
        <f t="shared" si="1"/>
        <v/>
      </c>
    </row>
    <row r="91" spans="9:9" x14ac:dyDescent="0.2">
      <c r="I91" s="105" t="str">
        <f t="shared" si="1"/>
        <v/>
      </c>
    </row>
    <row r="92" spans="9:9" x14ac:dyDescent="0.2">
      <c r="I92" s="105" t="str">
        <f t="shared" si="1"/>
        <v/>
      </c>
    </row>
    <row r="93" spans="9:9" x14ac:dyDescent="0.2">
      <c r="I93" s="105" t="str">
        <f t="shared" si="1"/>
        <v/>
      </c>
    </row>
    <row r="94" spans="9:9" x14ac:dyDescent="0.2">
      <c r="I94" s="105" t="str">
        <f t="shared" si="1"/>
        <v/>
      </c>
    </row>
    <row r="95" spans="9:9" x14ac:dyDescent="0.2">
      <c r="I95" s="105" t="str">
        <f t="shared" si="1"/>
        <v/>
      </c>
    </row>
    <row r="96" spans="9:9" x14ac:dyDescent="0.2">
      <c r="I96" s="105" t="str">
        <f t="shared" si="1"/>
        <v/>
      </c>
    </row>
    <row r="97" spans="9:9" x14ac:dyDescent="0.2">
      <c r="I97" s="105" t="str">
        <f t="shared" si="1"/>
        <v/>
      </c>
    </row>
    <row r="98" spans="9:9" x14ac:dyDescent="0.2">
      <c r="I98" s="105" t="str">
        <f t="shared" si="1"/>
        <v/>
      </c>
    </row>
    <row r="99" spans="9:9" x14ac:dyDescent="0.2">
      <c r="I99" s="105" t="str">
        <f t="shared" si="1"/>
        <v/>
      </c>
    </row>
    <row r="100" spans="9:9" x14ac:dyDescent="0.2">
      <c r="I100" s="105" t="str">
        <f t="shared" si="1"/>
        <v/>
      </c>
    </row>
  </sheetData>
  <conditionalFormatting sqref="E1:F1">
    <cfRule type="cellIs" dxfId="5" priority="1" operator="equal">
      <formula>40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CFF0-0AAE-4B46-821E-24B447D8DF44}">
  <dimension ref="A1:K100"/>
  <sheetViews>
    <sheetView workbookViewId="0">
      <selection activeCell="A2" sqref="A2"/>
    </sheetView>
  </sheetViews>
  <sheetFormatPr baseColWidth="10" defaultRowHeight="16" x14ac:dyDescent="0.2"/>
  <cols>
    <col min="1" max="1" width="12" bestFit="1" customWidth="1"/>
    <col min="2" max="2" width="22.1640625" bestFit="1" customWidth="1"/>
    <col min="3" max="3" width="32.1640625" bestFit="1" customWidth="1"/>
    <col min="4" max="4" width="8.33203125" bestFit="1" customWidth="1"/>
    <col min="5" max="5" width="12.5" bestFit="1" customWidth="1"/>
    <col min="6" max="6" width="15.6640625" bestFit="1" customWidth="1"/>
    <col min="7" max="7" width="18.1640625" bestFit="1" customWidth="1"/>
    <col min="8" max="8" width="45.83203125" customWidth="1"/>
    <col min="9" max="9" width="15" customWidth="1"/>
  </cols>
  <sheetData>
    <row r="1" spans="1:11" ht="16" customHeight="1" x14ac:dyDescent="0.2">
      <c r="A1" s="83" t="s">
        <v>57</v>
      </c>
      <c r="B1" s="83" t="s">
        <v>36</v>
      </c>
      <c r="C1" s="83" t="s">
        <v>58</v>
      </c>
      <c r="D1" s="83" t="s">
        <v>59</v>
      </c>
      <c r="E1" s="83" t="s">
        <v>4</v>
      </c>
      <c r="F1" s="83" t="s">
        <v>5</v>
      </c>
      <c r="G1" s="83" t="s">
        <v>6</v>
      </c>
      <c r="H1" s="83" t="s">
        <v>56</v>
      </c>
      <c r="I1" s="83" t="s">
        <v>66</v>
      </c>
    </row>
    <row r="2" spans="1:11" s="81" customFormat="1" ht="16" customHeight="1" x14ac:dyDescent="0.2">
      <c r="A2" s="90"/>
      <c r="B2" s="90"/>
      <c r="D2" s="102"/>
      <c r="E2" s="91"/>
      <c r="F2" s="91"/>
      <c r="G2" s="91"/>
      <c r="H2" s="109"/>
      <c r="I2" s="105" t="str">
        <f>IF(ISNUMBER(E2), IF(E2&gt;'Outlier Check'!$L$42,"PASS","FAIL"),"")</f>
        <v/>
      </c>
      <c r="K2" s="82"/>
    </row>
    <row r="3" spans="1:11" s="81" customFormat="1" ht="16" customHeight="1" x14ac:dyDescent="0.2">
      <c r="A3" s="90"/>
      <c r="B3" s="90"/>
      <c r="D3" s="102"/>
      <c r="E3" s="91"/>
      <c r="F3" s="91"/>
      <c r="G3" s="91"/>
      <c r="H3" s="109"/>
      <c r="I3" s="105" t="str">
        <f>IF(ISNUMBER(E3), IF(E3&gt;'Outlier Check'!$L$42,"PASS","FAIL"),"")</f>
        <v/>
      </c>
    </row>
    <row r="4" spans="1:11" s="81" customFormat="1" ht="16" customHeight="1" x14ac:dyDescent="0.2">
      <c r="A4" s="90"/>
      <c r="B4" s="90"/>
      <c r="D4" s="102"/>
      <c r="E4" s="91"/>
      <c r="F4" s="91"/>
      <c r="G4" s="91"/>
      <c r="H4" s="109"/>
      <c r="I4" s="105" t="str">
        <f>IF(ISNUMBER(E4), IF(E4&gt;'Outlier Check'!$L$42,"PASS","FAIL"),"")</f>
        <v/>
      </c>
    </row>
    <row r="5" spans="1:11" s="81" customFormat="1" ht="16" customHeight="1" x14ac:dyDescent="0.2">
      <c r="A5" s="90"/>
      <c r="B5" s="90"/>
      <c r="D5" s="102"/>
      <c r="E5" s="91"/>
      <c r="F5" s="91"/>
      <c r="G5" s="91"/>
      <c r="H5" s="109"/>
      <c r="I5" s="105" t="str">
        <f>IF(ISNUMBER(E5), IF(E5&gt;'Outlier Check'!$L$42,"PASS","FAIL"),"")</f>
        <v/>
      </c>
    </row>
    <row r="6" spans="1:11" x14ac:dyDescent="0.2">
      <c r="I6" s="105" t="str">
        <f>IF(ISNUMBER(E6), IF(E6&gt;'Outlier Check'!$L$42,"PASS","FAIL"),"")</f>
        <v/>
      </c>
    </row>
    <row r="7" spans="1:11" x14ac:dyDescent="0.2">
      <c r="I7" s="105" t="str">
        <f>IF(ISNUMBER(E7), IF(E7&gt;'Outlier Check'!$L$42,"PASS","FAIL"),"")</f>
        <v/>
      </c>
    </row>
    <row r="8" spans="1:11" x14ac:dyDescent="0.2">
      <c r="I8" s="105" t="str">
        <f>IF(ISNUMBER(E8), IF(E8&gt;'Outlier Check'!$L$42,"PASS","FAIL"),"")</f>
        <v/>
      </c>
    </row>
    <row r="9" spans="1:11" x14ac:dyDescent="0.2">
      <c r="I9" s="105" t="str">
        <f>IF(ISNUMBER(E9), IF(E9&gt;'Outlier Check'!$L$42,"PASS","FAIL"),"")</f>
        <v/>
      </c>
    </row>
    <row r="10" spans="1:11" x14ac:dyDescent="0.2">
      <c r="I10" s="105" t="str">
        <f>IF(ISNUMBER(E10), IF(E10&gt;'Outlier Check'!$L$42,"PASS","FAIL"),"")</f>
        <v/>
      </c>
    </row>
    <row r="11" spans="1:11" x14ac:dyDescent="0.2">
      <c r="I11" s="105" t="str">
        <f>IF(ISNUMBER(E11), IF(E11&gt;'Outlier Check'!$L$42,"PASS","FAIL"),"")</f>
        <v/>
      </c>
    </row>
    <row r="12" spans="1:11" x14ac:dyDescent="0.2">
      <c r="I12" s="105" t="str">
        <f>IF(ISNUMBER(E12), IF(E12&gt;'Outlier Check'!$L$42,"PASS","FAIL"),"")</f>
        <v/>
      </c>
    </row>
    <row r="13" spans="1:11" x14ac:dyDescent="0.2">
      <c r="I13" s="105" t="str">
        <f>IF(ISNUMBER(E13), IF(E13&gt;'Outlier Check'!$L$42,"PASS","FAIL"),"")</f>
        <v/>
      </c>
    </row>
    <row r="14" spans="1:11" x14ac:dyDescent="0.2">
      <c r="I14" s="105" t="str">
        <f>IF(ISNUMBER(E14), IF(E14&gt;'Outlier Check'!$L$42,"PASS","FAIL"),"")</f>
        <v/>
      </c>
    </row>
    <row r="15" spans="1:11" x14ac:dyDescent="0.2">
      <c r="I15" s="105" t="str">
        <f>IF(ISNUMBER(E15), IF(E15&gt;'Outlier Check'!$L$42,"PASS","FAIL"),"")</f>
        <v/>
      </c>
    </row>
    <row r="16" spans="1:11" x14ac:dyDescent="0.2">
      <c r="I16" s="105" t="str">
        <f>IF(ISNUMBER(E16), IF(E16&gt;'Outlier Check'!$L$42,"PASS","FAIL"),"")</f>
        <v/>
      </c>
    </row>
    <row r="17" spans="9:9" x14ac:dyDescent="0.2">
      <c r="I17" s="105" t="str">
        <f>IF(ISNUMBER(E17), IF(E17&gt;'Outlier Check'!$L$42,"PASS","FAIL"),"")</f>
        <v/>
      </c>
    </row>
    <row r="18" spans="9:9" x14ac:dyDescent="0.2">
      <c r="I18" s="105" t="str">
        <f>IF(ISNUMBER(E18), IF(E18&gt;'Outlier Check'!$L$42,"PASS","FAIL"),"")</f>
        <v/>
      </c>
    </row>
    <row r="19" spans="9:9" x14ac:dyDescent="0.2">
      <c r="I19" s="105" t="str">
        <f>IF(ISNUMBER(E19), IF(E19&gt;'Outlier Check'!$L$42,"PASS","FAIL"),"")</f>
        <v/>
      </c>
    </row>
    <row r="20" spans="9:9" x14ac:dyDescent="0.2">
      <c r="I20" s="105" t="str">
        <f>IF(ISNUMBER(E20), IF(E20&gt;'Outlier Check'!$L$42,"PASS","FAIL"),"")</f>
        <v/>
      </c>
    </row>
    <row r="21" spans="9:9" x14ac:dyDescent="0.2">
      <c r="I21" s="105" t="str">
        <f>IF(ISNUMBER(E21), IF(E21&gt;'Outlier Check'!$L$42,"PASS","FAIL"),"")</f>
        <v/>
      </c>
    </row>
    <row r="22" spans="9:9" x14ac:dyDescent="0.2">
      <c r="I22" s="105" t="str">
        <f>IF(ISNUMBER(E22), IF(E22&gt;'Outlier Check'!$L$42,"PASS","FAIL"),"")</f>
        <v/>
      </c>
    </row>
    <row r="23" spans="9:9" x14ac:dyDescent="0.2">
      <c r="I23" s="105" t="str">
        <f>IF(ISNUMBER(E23), IF(E23&gt;'Outlier Check'!$L$42,"PASS","FAIL"),"")</f>
        <v/>
      </c>
    </row>
    <row r="24" spans="9:9" x14ac:dyDescent="0.2">
      <c r="I24" s="105" t="str">
        <f>IF(ISNUMBER(E24), IF(E24&gt;'Outlier Check'!$L$42,"PASS","FAIL"),"")</f>
        <v/>
      </c>
    </row>
    <row r="25" spans="9:9" x14ac:dyDescent="0.2">
      <c r="I25" s="105" t="str">
        <f>IF(ISNUMBER(E25), IF(E25&gt;'Outlier Check'!$L$42,"PASS","FAIL"),"")</f>
        <v/>
      </c>
    </row>
    <row r="26" spans="9:9" x14ac:dyDescent="0.2">
      <c r="I26" s="105" t="str">
        <f>IF(ISNUMBER(E26), IF(E26&gt;'Outlier Check'!$L$42,"PASS","FAIL"),"")</f>
        <v/>
      </c>
    </row>
    <row r="27" spans="9:9" x14ac:dyDescent="0.2">
      <c r="I27" s="105" t="str">
        <f>IF(ISNUMBER(E27), IF(E27&gt;'Outlier Check'!$L$42,"PASS","FAIL"),"")</f>
        <v/>
      </c>
    </row>
    <row r="28" spans="9:9" x14ac:dyDescent="0.2">
      <c r="I28" s="105" t="str">
        <f>IF(ISNUMBER(E28), IF(E28&gt;'Outlier Check'!$L$42,"PASS","FAIL"),"")</f>
        <v/>
      </c>
    </row>
    <row r="29" spans="9:9" x14ac:dyDescent="0.2">
      <c r="I29" s="105" t="str">
        <f>IF(ISNUMBER(E29), IF(E29&gt;'Outlier Check'!$L$42,"PASS","FAIL"),"")</f>
        <v/>
      </c>
    </row>
    <row r="30" spans="9:9" x14ac:dyDescent="0.2">
      <c r="I30" s="105" t="str">
        <f>IF(ISNUMBER(E30), IF(E30&gt;'Outlier Check'!$L$42,"PASS","FAIL"),"")</f>
        <v/>
      </c>
    </row>
    <row r="31" spans="9:9" x14ac:dyDescent="0.2">
      <c r="I31" s="105" t="str">
        <f>IF(ISNUMBER(E31), IF(E31&gt;'Outlier Check'!$L$42,"PASS","FAIL"),"")</f>
        <v/>
      </c>
    </row>
    <row r="32" spans="9:9" x14ac:dyDescent="0.2">
      <c r="I32" s="105" t="str">
        <f>IF(ISNUMBER(E32), IF(E32&gt;'Outlier Check'!$L$42,"PASS","FAIL"),"")</f>
        <v/>
      </c>
    </row>
    <row r="33" spans="9:9" x14ac:dyDescent="0.2">
      <c r="I33" s="105" t="str">
        <f>IF(ISNUMBER(E33), IF(E33&gt;'Outlier Check'!$L$42,"PASS","FAIL"),"")</f>
        <v/>
      </c>
    </row>
    <row r="34" spans="9:9" x14ac:dyDescent="0.2">
      <c r="I34" s="105" t="str">
        <f>IF(ISNUMBER(E34), IF(E34&gt;'Outlier Check'!$L$42,"PASS","FAIL"),"")</f>
        <v/>
      </c>
    </row>
    <row r="35" spans="9:9" x14ac:dyDescent="0.2">
      <c r="I35" s="105" t="str">
        <f>IF(ISNUMBER(E35), IF(E35&gt;'Outlier Check'!$L$42,"PASS","FAIL"),"")</f>
        <v/>
      </c>
    </row>
    <row r="36" spans="9:9" x14ac:dyDescent="0.2">
      <c r="I36" s="105" t="str">
        <f>IF(ISNUMBER(E36), IF(E36&gt;'Outlier Check'!$L$42,"PASS","FAIL"),"")</f>
        <v/>
      </c>
    </row>
    <row r="37" spans="9:9" x14ac:dyDescent="0.2">
      <c r="I37" s="105" t="str">
        <f>IF(ISNUMBER(E37), IF(E37&gt;'Outlier Check'!$L$42,"PASS","FAIL"),"")</f>
        <v/>
      </c>
    </row>
    <row r="38" spans="9:9" x14ac:dyDescent="0.2">
      <c r="I38" s="105" t="str">
        <f>IF(ISNUMBER(E38), IF(E38&gt;'Outlier Check'!$L$42,"PASS","FAIL"),"")</f>
        <v/>
      </c>
    </row>
    <row r="39" spans="9:9" x14ac:dyDescent="0.2">
      <c r="I39" s="105" t="str">
        <f>IF(ISNUMBER(E39), IF(E39&gt;'Outlier Check'!$L$42,"PASS","FAIL"),"")</f>
        <v/>
      </c>
    </row>
    <row r="40" spans="9:9" x14ac:dyDescent="0.2">
      <c r="I40" s="105" t="str">
        <f>IF(ISNUMBER(E40), IF(E40&gt;'Outlier Check'!$L$42,"PASS","FAIL"),"")</f>
        <v/>
      </c>
    </row>
    <row r="41" spans="9:9" x14ac:dyDescent="0.2">
      <c r="I41" s="105" t="str">
        <f>IF(ISNUMBER(E41), IF(E41&gt;'Outlier Check'!$L$42,"PASS","FAIL"),"")</f>
        <v/>
      </c>
    </row>
    <row r="42" spans="9:9" x14ac:dyDescent="0.2">
      <c r="I42" s="105" t="str">
        <f>IF(ISNUMBER(E42), IF(E42&gt;'Outlier Check'!$L$42,"PASS","FAIL"),"")</f>
        <v/>
      </c>
    </row>
    <row r="43" spans="9:9" x14ac:dyDescent="0.2">
      <c r="I43" s="105" t="str">
        <f>IF(ISNUMBER(E43), IF(E43&gt;'Outlier Check'!$L$42,"PASS","FAIL"),"")</f>
        <v/>
      </c>
    </row>
    <row r="44" spans="9:9" x14ac:dyDescent="0.2">
      <c r="I44" s="105" t="str">
        <f>IF(ISNUMBER(E44), IF(E44&gt;'Outlier Check'!$L$42,"PASS","FAIL"),"")</f>
        <v/>
      </c>
    </row>
    <row r="45" spans="9:9" x14ac:dyDescent="0.2">
      <c r="I45" s="105" t="str">
        <f>IF(ISNUMBER(E45), IF(E45&gt;'Outlier Check'!$L$42,"PASS","FAIL"),"")</f>
        <v/>
      </c>
    </row>
    <row r="46" spans="9:9" x14ac:dyDescent="0.2">
      <c r="I46" s="105" t="str">
        <f>IF(ISNUMBER(E46), IF(E46&gt;'Outlier Check'!$L$42,"PASS","FAIL"),"")</f>
        <v/>
      </c>
    </row>
    <row r="47" spans="9:9" x14ac:dyDescent="0.2">
      <c r="I47" s="105" t="str">
        <f>IF(ISNUMBER(E47), IF(E47&gt;'Outlier Check'!$L$42,"PASS","FAIL"),"")</f>
        <v/>
      </c>
    </row>
    <row r="48" spans="9:9" x14ac:dyDescent="0.2">
      <c r="I48" s="105" t="str">
        <f>IF(ISNUMBER(E48), IF(E48&gt;'Outlier Check'!$L$42,"PASS","FAIL"),"")</f>
        <v/>
      </c>
    </row>
    <row r="49" spans="9:9" x14ac:dyDescent="0.2">
      <c r="I49" s="105" t="str">
        <f>IF(ISNUMBER(E49), IF(E49&gt;'Outlier Check'!$L$42,"PASS","FAIL"),"")</f>
        <v/>
      </c>
    </row>
    <row r="50" spans="9:9" x14ac:dyDescent="0.2">
      <c r="I50" s="105" t="str">
        <f>IF(ISNUMBER(E50), IF(E50&gt;'Outlier Check'!$L$42,"PASS","FAIL"),"")</f>
        <v/>
      </c>
    </row>
    <row r="51" spans="9:9" x14ac:dyDescent="0.2">
      <c r="I51" s="105" t="str">
        <f>IF(ISNUMBER(E51), IF(E51&gt;'Outlier Check'!$L$42,"PASS","FAIL"),"")</f>
        <v/>
      </c>
    </row>
    <row r="52" spans="9:9" x14ac:dyDescent="0.2">
      <c r="I52" s="105" t="str">
        <f>IF(ISNUMBER(E52), IF(E52&gt;'Outlier Check'!$L$42,"PASS","FAIL"),"")</f>
        <v/>
      </c>
    </row>
    <row r="53" spans="9:9" x14ac:dyDescent="0.2">
      <c r="I53" s="105" t="str">
        <f>IF(ISNUMBER(E53), IF(E53&gt;'Outlier Check'!$L$42,"PASS","FAIL"),"")</f>
        <v/>
      </c>
    </row>
    <row r="54" spans="9:9" x14ac:dyDescent="0.2">
      <c r="I54" s="105" t="str">
        <f>IF(ISNUMBER(E54), IF(E54&gt;'Outlier Check'!$L$42,"PASS","FAIL"),"")</f>
        <v/>
      </c>
    </row>
    <row r="55" spans="9:9" x14ac:dyDescent="0.2">
      <c r="I55" s="105" t="str">
        <f>IF(ISNUMBER(E55), IF(E55&gt;'Outlier Check'!$L$42,"PASS","FAIL"),"")</f>
        <v/>
      </c>
    </row>
    <row r="56" spans="9:9" x14ac:dyDescent="0.2">
      <c r="I56" s="105" t="str">
        <f>IF(ISNUMBER(E56), IF(E56&gt;'Outlier Check'!$L$42,"PASS","FAIL"),"")</f>
        <v/>
      </c>
    </row>
    <row r="57" spans="9:9" x14ac:dyDescent="0.2">
      <c r="I57" s="105" t="str">
        <f>IF(ISNUMBER(E57), IF(E57&gt;'Outlier Check'!$L$42,"PASS","FAIL"),"")</f>
        <v/>
      </c>
    </row>
    <row r="58" spans="9:9" x14ac:dyDescent="0.2">
      <c r="I58" s="105" t="str">
        <f>IF(ISNUMBER(E58), IF(E58&gt;'Outlier Check'!$L$42,"PASS","FAIL"),"")</f>
        <v/>
      </c>
    </row>
    <row r="59" spans="9:9" x14ac:dyDescent="0.2">
      <c r="I59" s="105" t="str">
        <f>IF(ISNUMBER(E59), IF(E59&gt;'Outlier Check'!$L$42,"PASS","FAIL"),"")</f>
        <v/>
      </c>
    </row>
    <row r="60" spans="9:9" x14ac:dyDescent="0.2">
      <c r="I60" s="105" t="str">
        <f>IF(ISNUMBER(E60), IF(E60&gt;'Outlier Check'!$L$42,"PASS","FAIL"),"")</f>
        <v/>
      </c>
    </row>
    <row r="61" spans="9:9" x14ac:dyDescent="0.2">
      <c r="I61" s="105" t="str">
        <f>IF(ISNUMBER(E61), IF(E61&gt;'Outlier Check'!$L$42,"PASS","FAIL"),"")</f>
        <v/>
      </c>
    </row>
    <row r="62" spans="9:9" x14ac:dyDescent="0.2">
      <c r="I62" s="105" t="str">
        <f>IF(ISNUMBER(E62), IF(E62&gt;'Outlier Check'!$L$42,"PASS","FAIL"),"")</f>
        <v/>
      </c>
    </row>
    <row r="63" spans="9:9" x14ac:dyDescent="0.2">
      <c r="I63" s="105" t="str">
        <f>IF(ISNUMBER(E63), IF(E63&gt;'Outlier Check'!$L$42,"PASS","FAIL"),"")</f>
        <v/>
      </c>
    </row>
    <row r="64" spans="9:9" x14ac:dyDescent="0.2">
      <c r="I64" s="105" t="str">
        <f>IF(ISNUMBER(E64), IF(E64&gt;'Outlier Check'!$L$42,"PASS","FAIL"),"")</f>
        <v/>
      </c>
    </row>
    <row r="65" spans="9:9" x14ac:dyDescent="0.2">
      <c r="I65" s="105" t="str">
        <f>IF(ISNUMBER(E65), IF(E65&gt;'Outlier Check'!$L$42,"PASS","FAIL"),"")</f>
        <v/>
      </c>
    </row>
    <row r="66" spans="9:9" x14ac:dyDescent="0.2">
      <c r="I66" s="105" t="str">
        <f>IF(ISNUMBER(E66), IF(E66&gt;'Outlier Check'!$L$42,"PASS","FAIL"),"")</f>
        <v/>
      </c>
    </row>
    <row r="67" spans="9:9" x14ac:dyDescent="0.2">
      <c r="I67" s="105" t="str">
        <f>IF(ISNUMBER(E67), IF(E67&gt;'Outlier Check'!$L$42,"PASS","FAIL"),"")</f>
        <v/>
      </c>
    </row>
    <row r="68" spans="9:9" x14ac:dyDescent="0.2">
      <c r="I68" s="105" t="str">
        <f>IF(ISNUMBER(E68), IF(E68&gt;'Outlier Check'!$L$42,"PASS","FAIL"),"")</f>
        <v/>
      </c>
    </row>
    <row r="69" spans="9:9" x14ac:dyDescent="0.2">
      <c r="I69" s="105" t="str">
        <f>IF(ISNUMBER(E69), IF(E69&gt;'Outlier Check'!$L$42,"PASS","FAIL"),"")</f>
        <v/>
      </c>
    </row>
    <row r="70" spans="9:9" x14ac:dyDescent="0.2">
      <c r="I70" s="105" t="str">
        <f>IF(ISNUMBER(E70), IF(E70&gt;'Outlier Check'!$L$42,"PASS","FAIL"),"")</f>
        <v/>
      </c>
    </row>
    <row r="71" spans="9:9" x14ac:dyDescent="0.2">
      <c r="I71" s="105" t="str">
        <f>IF(ISNUMBER(E71), IF(E71&gt;'Outlier Check'!$L$42,"PASS","FAIL"),"")</f>
        <v/>
      </c>
    </row>
    <row r="72" spans="9:9" x14ac:dyDescent="0.2">
      <c r="I72" s="105" t="str">
        <f>IF(ISNUMBER(E72), IF(E72&gt;'Outlier Check'!$L$42,"PASS","FAIL"),"")</f>
        <v/>
      </c>
    </row>
    <row r="73" spans="9:9" x14ac:dyDescent="0.2">
      <c r="I73" s="105" t="str">
        <f>IF(ISNUMBER(E73), IF(E73&gt;'Outlier Check'!$L$42,"PASS","FAIL"),"")</f>
        <v/>
      </c>
    </row>
    <row r="74" spans="9:9" x14ac:dyDescent="0.2">
      <c r="I74" s="105" t="str">
        <f>IF(ISNUMBER(E74), IF(E74&gt;'Outlier Check'!$L$42,"PASS","FAIL"),"")</f>
        <v/>
      </c>
    </row>
    <row r="75" spans="9:9" x14ac:dyDescent="0.2">
      <c r="I75" s="105" t="str">
        <f>IF(ISNUMBER(E75), IF(E75&gt;'Outlier Check'!$L$42,"PASS","FAIL"),"")</f>
        <v/>
      </c>
    </row>
    <row r="76" spans="9:9" x14ac:dyDescent="0.2">
      <c r="I76" s="105" t="str">
        <f>IF(ISNUMBER(E76), IF(E76&gt;'Outlier Check'!$L$42,"PASS","FAIL"),"")</f>
        <v/>
      </c>
    </row>
    <row r="77" spans="9:9" x14ac:dyDescent="0.2">
      <c r="I77" s="105" t="str">
        <f>IF(ISNUMBER(E77), IF(E77&gt;'Outlier Check'!$L$42,"PASS","FAIL"),"")</f>
        <v/>
      </c>
    </row>
    <row r="78" spans="9:9" x14ac:dyDescent="0.2">
      <c r="I78" s="105" t="str">
        <f>IF(ISNUMBER(E78), IF(E78&gt;'Outlier Check'!$L$42,"PASS","FAIL"),"")</f>
        <v/>
      </c>
    </row>
    <row r="79" spans="9:9" x14ac:dyDescent="0.2">
      <c r="I79" s="105" t="str">
        <f>IF(ISNUMBER(E79), IF(E79&gt;'Outlier Check'!$L$42,"PASS","FAIL"),"")</f>
        <v/>
      </c>
    </row>
    <row r="80" spans="9:9" x14ac:dyDescent="0.2">
      <c r="I80" s="105" t="str">
        <f>IF(ISNUMBER(E80), IF(E80&gt;'Outlier Check'!$L$42,"PASS","FAIL"),"")</f>
        <v/>
      </c>
    </row>
    <row r="81" spans="9:9" x14ac:dyDescent="0.2">
      <c r="I81" s="105" t="str">
        <f>IF(ISNUMBER(E81), IF(E81&gt;'Outlier Check'!$L$42,"PASS","FAIL"),"")</f>
        <v/>
      </c>
    </row>
    <row r="82" spans="9:9" x14ac:dyDescent="0.2">
      <c r="I82" s="105" t="str">
        <f>IF(ISNUMBER(E82), IF(E82&gt;'Outlier Check'!$L$42,"PASS","FAIL"),"")</f>
        <v/>
      </c>
    </row>
    <row r="83" spans="9:9" x14ac:dyDescent="0.2">
      <c r="I83" s="105" t="str">
        <f>IF(ISNUMBER(E83), IF(E83&gt;'Outlier Check'!$L$42,"PASS","FAIL"),"")</f>
        <v/>
      </c>
    </row>
    <row r="84" spans="9:9" x14ac:dyDescent="0.2">
      <c r="I84" s="105" t="str">
        <f>IF(ISNUMBER(E84), IF(E84&gt;'Outlier Check'!$L$42,"PASS","FAIL"),"")</f>
        <v/>
      </c>
    </row>
    <row r="85" spans="9:9" x14ac:dyDescent="0.2">
      <c r="I85" s="105" t="str">
        <f>IF(ISNUMBER(E85), IF(E85&gt;'Outlier Check'!$L$42,"PASS","FAIL"),"")</f>
        <v/>
      </c>
    </row>
    <row r="86" spans="9:9" x14ac:dyDescent="0.2">
      <c r="I86" s="105" t="str">
        <f>IF(ISNUMBER(E86), IF(E86&gt;'Outlier Check'!$L$42,"PASS","FAIL"),"")</f>
        <v/>
      </c>
    </row>
    <row r="87" spans="9:9" x14ac:dyDescent="0.2">
      <c r="I87" s="105" t="str">
        <f>IF(ISNUMBER(E87), IF(E87&gt;'Outlier Check'!$L$42,"PASS","FAIL"),"")</f>
        <v/>
      </c>
    </row>
    <row r="88" spans="9:9" x14ac:dyDescent="0.2">
      <c r="I88" s="105" t="str">
        <f>IF(ISNUMBER(E88), IF(E88&gt;'Outlier Check'!$L$42,"PASS","FAIL"),"")</f>
        <v/>
      </c>
    </row>
    <row r="89" spans="9:9" x14ac:dyDescent="0.2">
      <c r="I89" s="105" t="str">
        <f>IF(ISNUMBER(E89), IF(E89&gt;'Outlier Check'!$L$42,"PASS","FAIL"),"")</f>
        <v/>
      </c>
    </row>
    <row r="90" spans="9:9" x14ac:dyDescent="0.2">
      <c r="I90" s="105" t="str">
        <f>IF(ISNUMBER(E90), IF(E90&gt;'Outlier Check'!$L$42,"PASS","FAIL"),"")</f>
        <v/>
      </c>
    </row>
    <row r="91" spans="9:9" x14ac:dyDescent="0.2">
      <c r="I91" s="105" t="str">
        <f>IF(ISNUMBER(E91), IF(E91&gt;'Outlier Check'!$L$42,"PASS","FAIL"),"")</f>
        <v/>
      </c>
    </row>
    <row r="92" spans="9:9" x14ac:dyDescent="0.2">
      <c r="I92" s="105" t="str">
        <f>IF(ISNUMBER(E92), IF(E92&gt;'Outlier Check'!$L$42,"PASS","FAIL"),"")</f>
        <v/>
      </c>
    </row>
    <row r="93" spans="9:9" x14ac:dyDescent="0.2">
      <c r="I93" s="105" t="str">
        <f>IF(ISNUMBER(E93), IF(E93&gt;'Outlier Check'!$L$42,"PASS","FAIL"),"")</f>
        <v/>
      </c>
    </row>
    <row r="94" spans="9:9" x14ac:dyDescent="0.2">
      <c r="I94" s="105" t="str">
        <f>IF(ISNUMBER(E94), IF(E94&gt;'Outlier Check'!$L$42,"PASS","FAIL"),"")</f>
        <v/>
      </c>
    </row>
    <row r="95" spans="9:9" x14ac:dyDescent="0.2">
      <c r="I95" s="105" t="str">
        <f>IF(ISNUMBER(E95), IF(E95&gt;'Outlier Check'!$L$42,"PASS","FAIL"),"")</f>
        <v/>
      </c>
    </row>
    <row r="96" spans="9:9" x14ac:dyDescent="0.2">
      <c r="I96" s="105" t="str">
        <f>IF(ISNUMBER(E96), IF(E96&gt;'Outlier Check'!$L$42,"PASS","FAIL"),"")</f>
        <v/>
      </c>
    </row>
    <row r="97" spans="9:9" x14ac:dyDescent="0.2">
      <c r="I97" s="105" t="str">
        <f>IF(ISNUMBER(E97), IF(E97&gt;'Outlier Check'!$L$42,"PASS","FAIL"),"")</f>
        <v/>
      </c>
    </row>
    <row r="98" spans="9:9" x14ac:dyDescent="0.2">
      <c r="I98" s="105" t="str">
        <f>IF(ISNUMBER(E98), IF(E98&gt;'Outlier Check'!$L$42,"PASS","FAIL"),"")</f>
        <v/>
      </c>
    </row>
    <row r="99" spans="9:9" x14ac:dyDescent="0.2">
      <c r="I99" s="105" t="str">
        <f>IF(ISNUMBER(E99), IF(E99&gt;'Outlier Check'!$L$42,"PASS","FAIL"),"")</f>
        <v/>
      </c>
    </row>
    <row r="100" spans="9:9" x14ac:dyDescent="0.2">
      <c r="I100" s="105" t="str">
        <f>IF(ISNUMBER(E100), IF(E100&gt;'Outlier Check'!$L$42,"PASS","FAIL"),"")</f>
        <v/>
      </c>
    </row>
  </sheetData>
  <conditionalFormatting sqref="E1:F1">
    <cfRule type="cellIs" dxfId="4" priority="1" operator="equal">
      <formula>40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423F-9B2E-6C4E-B661-E89C6E13AB03}">
  <dimension ref="A1:I43"/>
  <sheetViews>
    <sheetView workbookViewId="0">
      <selection activeCell="A2" sqref="A2"/>
    </sheetView>
  </sheetViews>
  <sheetFormatPr baseColWidth="10" defaultRowHeight="16" customHeight="1" x14ac:dyDescent="0.2"/>
  <cols>
    <col min="1" max="1" width="11.6640625" bestFit="1" customWidth="1"/>
    <col min="2" max="2" width="17.5" bestFit="1" customWidth="1"/>
    <col min="3" max="3" width="17.6640625" bestFit="1" customWidth="1"/>
    <col min="4" max="4" width="22.1640625" style="78" bestFit="1" customWidth="1"/>
    <col min="5" max="5" width="27.6640625" style="78" bestFit="1" customWidth="1"/>
    <col min="6" max="6" width="14.33203125" style="78" bestFit="1" customWidth="1"/>
    <col min="7" max="7" width="13.5" style="78" bestFit="1" customWidth="1"/>
    <col min="8" max="8" width="13.1640625" style="78" bestFit="1" customWidth="1"/>
    <col min="9" max="9" width="15.83203125" style="78" bestFit="1" customWidth="1"/>
  </cols>
  <sheetData>
    <row r="1" spans="1:9" s="1" customFormat="1" ht="16" customHeight="1" x14ac:dyDescent="0.2">
      <c r="A1" s="1" t="s">
        <v>75</v>
      </c>
      <c r="B1" s="1" t="s">
        <v>76</v>
      </c>
      <c r="C1" s="1" t="s">
        <v>77</v>
      </c>
      <c r="D1" s="25" t="s">
        <v>35</v>
      </c>
      <c r="E1" s="25" t="s">
        <v>37</v>
      </c>
      <c r="F1" s="25" t="s">
        <v>39</v>
      </c>
      <c r="G1" s="25" t="s">
        <v>38</v>
      </c>
      <c r="H1" s="25" t="s">
        <v>40</v>
      </c>
      <c r="I1" s="25" t="s">
        <v>41</v>
      </c>
    </row>
    <row r="2" spans="1:9" ht="16" customHeight="1" x14ac:dyDescent="0.2">
      <c r="A2" s="110"/>
      <c r="B2" s="111"/>
      <c r="C2" s="111"/>
      <c r="D2" s="110"/>
      <c r="E2" s="110"/>
      <c r="F2" s="112"/>
      <c r="G2" s="115"/>
      <c r="I2" s="78">
        <v>5</v>
      </c>
    </row>
    <row r="3" spans="1:9" ht="16" customHeight="1" x14ac:dyDescent="0.2">
      <c r="A3" s="110"/>
      <c r="B3" s="111"/>
      <c r="C3" s="111"/>
      <c r="D3" s="110"/>
      <c r="E3" s="110"/>
      <c r="G3" s="115"/>
      <c r="I3" s="78">
        <v>5</v>
      </c>
    </row>
    <row r="4" spans="1:9" ht="16" customHeight="1" x14ac:dyDescent="0.2">
      <c r="A4" s="110"/>
      <c r="B4" s="111"/>
      <c r="C4" s="111"/>
      <c r="D4" s="110"/>
      <c r="E4" s="110"/>
      <c r="G4" s="115"/>
      <c r="I4" s="78">
        <v>5</v>
      </c>
    </row>
    <row r="5" spans="1:9" ht="16" customHeight="1" x14ac:dyDescent="0.2">
      <c r="A5" s="110"/>
      <c r="B5" s="111"/>
      <c r="C5" s="111"/>
      <c r="D5" s="110"/>
      <c r="E5" s="110"/>
      <c r="G5" s="115"/>
      <c r="I5" s="78">
        <v>5</v>
      </c>
    </row>
    <row r="6" spans="1:9" ht="16" customHeight="1" x14ac:dyDescent="0.2">
      <c r="A6" s="110"/>
      <c r="B6" s="111"/>
      <c r="C6" s="111"/>
      <c r="D6" s="110"/>
      <c r="E6" s="110"/>
      <c r="G6" s="115"/>
      <c r="I6" s="78">
        <v>5</v>
      </c>
    </row>
    <row r="7" spans="1:9" ht="16" customHeight="1" x14ac:dyDescent="0.2">
      <c r="A7" s="110"/>
      <c r="B7" s="111"/>
      <c r="C7" s="111"/>
      <c r="D7" s="110"/>
      <c r="E7" s="110"/>
      <c r="G7" s="115"/>
      <c r="I7" s="78">
        <v>5</v>
      </c>
    </row>
    <row r="8" spans="1:9" ht="16" customHeight="1" x14ac:dyDescent="0.2">
      <c r="A8" s="110"/>
      <c r="B8" s="111"/>
      <c r="C8" s="111"/>
      <c r="D8" s="110"/>
      <c r="E8" s="110"/>
      <c r="G8" s="115"/>
      <c r="I8" s="78">
        <v>5</v>
      </c>
    </row>
    <row r="9" spans="1:9" ht="16" customHeight="1" x14ac:dyDescent="0.2">
      <c r="A9" s="110"/>
      <c r="B9" s="111"/>
      <c r="C9" s="111"/>
      <c r="D9" s="110"/>
      <c r="E9" s="110"/>
      <c r="G9" s="115"/>
      <c r="I9" s="78">
        <v>5</v>
      </c>
    </row>
    <row r="10" spans="1:9" ht="16" customHeight="1" x14ac:dyDescent="0.2">
      <c r="A10" s="110"/>
      <c r="B10" s="111"/>
      <c r="C10" s="111"/>
      <c r="D10" s="110"/>
      <c r="E10" s="110"/>
      <c r="G10" s="115"/>
      <c r="I10" s="78">
        <v>5</v>
      </c>
    </row>
    <row r="11" spans="1:9" ht="16" customHeight="1" x14ac:dyDescent="0.2">
      <c r="A11" s="110"/>
      <c r="B11" s="111"/>
      <c r="C11" s="111"/>
      <c r="D11" s="110"/>
      <c r="E11" s="110"/>
      <c r="G11" s="115"/>
      <c r="I11" s="78">
        <v>5</v>
      </c>
    </row>
    <row r="12" spans="1:9" ht="16" customHeight="1" x14ac:dyDescent="0.2">
      <c r="A12" s="110"/>
      <c r="B12" s="111"/>
      <c r="C12" s="111"/>
      <c r="D12" s="110"/>
      <c r="E12" s="110"/>
      <c r="G12" s="115"/>
      <c r="I12" s="78">
        <v>5</v>
      </c>
    </row>
    <row r="13" spans="1:9" ht="16" customHeight="1" x14ac:dyDescent="0.2">
      <c r="A13" s="110"/>
      <c r="B13" s="111"/>
      <c r="C13" s="111"/>
      <c r="D13" s="110"/>
      <c r="E13" s="110"/>
      <c r="G13" s="115"/>
      <c r="I13" s="78">
        <v>5</v>
      </c>
    </row>
    <row r="14" spans="1:9" ht="16" customHeight="1" x14ac:dyDescent="0.2">
      <c r="A14" s="110"/>
      <c r="B14" s="111"/>
      <c r="C14" s="111"/>
      <c r="D14" s="110"/>
      <c r="E14" s="110"/>
      <c r="F14" s="118"/>
      <c r="G14" s="115"/>
      <c r="I14" s="78">
        <v>5</v>
      </c>
    </row>
    <row r="15" spans="1:9" ht="16" customHeight="1" x14ac:dyDescent="0.2">
      <c r="A15" s="110"/>
      <c r="B15" s="111"/>
      <c r="C15" s="111"/>
      <c r="D15" s="110"/>
      <c r="E15" s="110"/>
      <c r="G15" s="115"/>
      <c r="I15" s="78">
        <v>5</v>
      </c>
    </row>
    <row r="16" spans="1:9" ht="16" customHeight="1" x14ac:dyDescent="0.2">
      <c r="A16" s="110"/>
      <c r="B16" s="111"/>
      <c r="C16" s="111"/>
      <c r="D16" s="110"/>
      <c r="E16" s="110"/>
      <c r="G16" s="115"/>
      <c r="I16" s="78">
        <v>5</v>
      </c>
    </row>
    <row r="17" spans="1:9" ht="16" customHeight="1" x14ac:dyDescent="0.2">
      <c r="A17" s="110"/>
      <c r="B17" s="111"/>
      <c r="C17" s="111"/>
      <c r="D17" s="110"/>
      <c r="E17" s="110"/>
      <c r="G17" s="115"/>
      <c r="I17" s="78">
        <v>5</v>
      </c>
    </row>
    <row r="18" spans="1:9" ht="16" customHeight="1" x14ac:dyDescent="0.2">
      <c r="A18" s="110"/>
      <c r="B18" s="111"/>
      <c r="C18" s="111"/>
      <c r="D18" s="110"/>
      <c r="E18" s="110"/>
      <c r="G18" s="115"/>
      <c r="I18" s="78">
        <v>5</v>
      </c>
    </row>
    <row r="19" spans="1:9" ht="16" customHeight="1" x14ac:dyDescent="0.2">
      <c r="A19" s="110"/>
      <c r="D19" s="110"/>
      <c r="E19" s="110"/>
      <c r="G19" s="115"/>
      <c r="I19" s="78">
        <v>5</v>
      </c>
    </row>
    <row r="20" spans="1:9" ht="16" customHeight="1" x14ac:dyDescent="0.2">
      <c r="A20" s="110"/>
      <c r="D20" s="110"/>
      <c r="E20" s="113"/>
      <c r="G20" s="115"/>
      <c r="I20" s="78">
        <v>5</v>
      </c>
    </row>
    <row r="21" spans="1:9" ht="16" customHeight="1" x14ac:dyDescent="0.2">
      <c r="A21" s="110"/>
      <c r="D21" s="110"/>
      <c r="E21" s="113"/>
      <c r="G21" s="115"/>
      <c r="I21" s="78">
        <v>5</v>
      </c>
    </row>
    <row r="22" spans="1:9" ht="16" customHeight="1" x14ac:dyDescent="0.2">
      <c r="A22" s="110"/>
      <c r="D22" s="110"/>
      <c r="E22" s="110"/>
      <c r="G22" s="115"/>
      <c r="I22" s="78">
        <v>5</v>
      </c>
    </row>
    <row r="23" spans="1:9" ht="16" customHeight="1" x14ac:dyDescent="0.2">
      <c r="A23" s="110"/>
      <c r="D23" s="110"/>
      <c r="E23" s="110"/>
      <c r="G23" s="115"/>
      <c r="I23" s="78">
        <v>5</v>
      </c>
    </row>
    <row r="24" spans="1:9" ht="16" customHeight="1" x14ac:dyDescent="0.2">
      <c r="A24" s="110"/>
      <c r="D24" s="110"/>
      <c r="E24" s="110"/>
      <c r="G24" s="115"/>
      <c r="I24" s="78">
        <v>5</v>
      </c>
    </row>
    <row r="25" spans="1:9" ht="16" customHeight="1" x14ac:dyDescent="0.2">
      <c r="A25" s="110"/>
      <c r="D25" s="110"/>
      <c r="E25" s="110"/>
      <c r="G25" s="115"/>
      <c r="I25" s="78">
        <v>5</v>
      </c>
    </row>
    <row r="26" spans="1:9" ht="16" customHeight="1" x14ac:dyDescent="0.2">
      <c r="A26" s="110"/>
      <c r="D26" s="110"/>
      <c r="E26" s="110"/>
      <c r="F26" s="119"/>
      <c r="G26" s="115"/>
      <c r="I26" s="78">
        <v>5</v>
      </c>
    </row>
    <row r="27" spans="1:9" ht="16" customHeight="1" x14ac:dyDescent="0.2">
      <c r="A27" s="110"/>
      <c r="D27" s="110"/>
      <c r="E27" s="110"/>
      <c r="F27" s="112"/>
      <c r="G27" s="115"/>
      <c r="I27" s="78">
        <v>5</v>
      </c>
    </row>
    <row r="28" spans="1:9" ht="16" customHeight="1" x14ac:dyDescent="0.2">
      <c r="A28" s="110"/>
      <c r="D28" s="110"/>
      <c r="E28" s="110"/>
      <c r="F28" s="112"/>
      <c r="G28" s="115"/>
      <c r="I28" s="78">
        <v>5</v>
      </c>
    </row>
    <row r="29" spans="1:9" ht="16" customHeight="1" x14ac:dyDescent="0.2">
      <c r="A29" s="110"/>
      <c r="D29" s="110"/>
      <c r="E29" s="110"/>
      <c r="F29" s="112"/>
      <c r="G29" s="115"/>
      <c r="I29" s="78">
        <v>5</v>
      </c>
    </row>
    <row r="30" spans="1:9" ht="16" customHeight="1" x14ac:dyDescent="0.2">
      <c r="A30" s="110"/>
      <c r="D30" s="110"/>
      <c r="E30" s="110"/>
      <c r="F30" s="112"/>
      <c r="G30" s="115"/>
      <c r="I30" s="78">
        <v>5</v>
      </c>
    </row>
    <row r="31" spans="1:9" ht="16" customHeight="1" x14ac:dyDescent="0.2">
      <c r="A31" s="110"/>
      <c r="D31" s="110"/>
      <c r="E31" s="110"/>
      <c r="F31" s="114"/>
      <c r="G31" s="115"/>
      <c r="I31" s="78">
        <v>5</v>
      </c>
    </row>
    <row r="32" spans="1:9" ht="16" customHeight="1" x14ac:dyDescent="0.2">
      <c r="A32" s="110"/>
      <c r="D32" s="110"/>
      <c r="E32" s="110"/>
      <c r="F32" s="114"/>
      <c r="G32" s="115"/>
      <c r="I32" s="78">
        <v>5</v>
      </c>
    </row>
    <row r="33" spans="1:9" ht="16" customHeight="1" x14ac:dyDescent="0.2">
      <c r="A33" s="110"/>
      <c r="D33" s="110"/>
      <c r="E33" s="110"/>
      <c r="G33" s="115"/>
      <c r="I33" s="78">
        <v>5</v>
      </c>
    </row>
    <row r="34" spans="1:9" ht="16" customHeight="1" x14ac:dyDescent="0.2">
      <c r="A34" s="110"/>
      <c r="D34" s="110"/>
      <c r="E34" s="110"/>
      <c r="F34" s="114"/>
      <c r="G34" s="115"/>
      <c r="I34" s="78">
        <v>5</v>
      </c>
    </row>
    <row r="35" spans="1:9" ht="16" customHeight="1" x14ac:dyDescent="0.2">
      <c r="A35" s="110"/>
      <c r="D35" s="110"/>
      <c r="E35" s="110"/>
      <c r="F35" s="114"/>
      <c r="G35" s="115"/>
      <c r="I35" s="78">
        <v>5</v>
      </c>
    </row>
    <row r="36" spans="1:9" ht="16" customHeight="1" x14ac:dyDescent="0.2">
      <c r="A36" s="110"/>
      <c r="D36" s="110"/>
      <c r="E36" s="110"/>
      <c r="G36" s="115"/>
      <c r="I36" s="78">
        <v>5</v>
      </c>
    </row>
    <row r="37" spans="1:9" ht="16" customHeight="1" x14ac:dyDescent="0.2">
      <c r="A37" s="110"/>
      <c r="D37" s="110"/>
      <c r="E37" s="110"/>
      <c r="F37" s="114"/>
      <c r="G37" s="115"/>
      <c r="I37" s="78">
        <v>5</v>
      </c>
    </row>
    <row r="38" spans="1:9" ht="16" customHeight="1" x14ac:dyDescent="0.2">
      <c r="A38" s="110"/>
      <c r="D38" s="110"/>
      <c r="E38" s="110"/>
      <c r="G38" s="115"/>
      <c r="I38" s="78">
        <v>5</v>
      </c>
    </row>
    <row r="39" spans="1:9" ht="16" customHeight="1" x14ac:dyDescent="0.2">
      <c r="A39" s="110"/>
      <c r="D39" s="110"/>
      <c r="E39" s="115"/>
      <c r="G39" s="115"/>
      <c r="I39" s="78">
        <v>5</v>
      </c>
    </row>
    <row r="40" spans="1:9" ht="16" customHeight="1" x14ac:dyDescent="0.2">
      <c r="A40" s="110"/>
      <c r="D40" s="110"/>
      <c r="E40" s="115"/>
      <c r="F40" s="114"/>
      <c r="G40" s="115"/>
      <c r="I40" s="78">
        <v>5</v>
      </c>
    </row>
    <row r="41" spans="1:9" ht="16" customHeight="1" x14ac:dyDescent="0.2">
      <c r="A41" s="92"/>
      <c r="D41" s="110"/>
      <c r="E41" s="110"/>
      <c r="F41" s="114"/>
      <c r="G41" s="115"/>
      <c r="I41" s="78">
        <v>5</v>
      </c>
    </row>
    <row r="42" spans="1:9" ht="16" customHeight="1" x14ac:dyDescent="0.2">
      <c r="A42" s="92"/>
      <c r="D42" s="92"/>
      <c r="E42" s="116"/>
      <c r="F42" s="117"/>
      <c r="G42" s="116"/>
      <c r="I42" s="78">
        <v>5</v>
      </c>
    </row>
    <row r="43" spans="1:9" ht="16" customHeight="1" x14ac:dyDescent="0.2">
      <c r="A43" s="92"/>
      <c r="D43" s="92"/>
      <c r="E43" s="92"/>
      <c r="F43" s="117"/>
      <c r="G43" s="116"/>
      <c r="I43" s="78">
        <v>5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CAB7-5B11-2E44-B3A2-3561EB74ECD4}">
  <dimension ref="A1:AF87"/>
  <sheetViews>
    <sheetView workbookViewId="0">
      <selection activeCell="G4" sqref="G4:G5"/>
    </sheetView>
  </sheetViews>
  <sheetFormatPr baseColWidth="10" defaultRowHeight="16" x14ac:dyDescent="0.2"/>
  <cols>
    <col min="1" max="1" width="15.1640625" bestFit="1" customWidth="1"/>
    <col min="2" max="2" width="12" bestFit="1" customWidth="1"/>
    <col min="3" max="3" width="25.6640625" bestFit="1" customWidth="1"/>
    <col min="4" max="4" width="12.83203125" customWidth="1"/>
    <col min="5" max="5" width="32.1640625" style="30" bestFit="1" customWidth="1"/>
    <col min="6" max="6" width="8.33203125" bestFit="1" customWidth="1"/>
    <col min="7" max="7" width="10.33203125" bestFit="1" customWidth="1"/>
    <col min="8" max="8" width="15.5" bestFit="1" customWidth="1"/>
    <col min="9" max="9" width="17.6640625" bestFit="1" customWidth="1"/>
    <col min="10" max="10" width="50.5" style="78" customWidth="1"/>
    <col min="11" max="11" width="27.6640625" bestFit="1" customWidth="1"/>
    <col min="12" max="12" width="22.1640625" bestFit="1" customWidth="1"/>
    <col min="13" max="13" width="12" bestFit="1" customWidth="1"/>
    <col min="14" max="14" width="12.83203125" bestFit="1" customWidth="1"/>
    <col min="15" max="15" width="12.83203125" customWidth="1"/>
    <col min="16" max="16" width="32.1640625" bestFit="1" customWidth="1"/>
    <col min="17" max="17" width="8.33203125" bestFit="1" customWidth="1"/>
    <col min="18" max="18" width="10.33203125" bestFit="1" customWidth="1"/>
    <col min="19" max="19" width="15.5" bestFit="1" customWidth="1"/>
    <col min="20" max="20" width="17.6640625" bestFit="1" customWidth="1"/>
    <col min="21" max="21" width="45.83203125" bestFit="1" customWidth="1"/>
    <col min="22" max="22" width="27.6640625" bestFit="1" customWidth="1"/>
    <col min="23" max="23" width="22.1640625" bestFit="1" customWidth="1"/>
    <col min="24" max="24" width="12" bestFit="1" customWidth="1"/>
    <col min="25" max="25" width="12.83203125" bestFit="1" customWidth="1"/>
    <col min="26" max="26" width="12.83203125" customWidth="1"/>
    <col min="27" max="27" width="32.1640625" bestFit="1" customWidth="1"/>
    <col min="28" max="28" width="8.33203125" bestFit="1" customWidth="1"/>
    <col min="29" max="29" width="10.33203125" bestFit="1" customWidth="1"/>
    <col min="30" max="30" width="15.5" bestFit="1" customWidth="1"/>
    <col min="31" max="31" width="17.6640625" bestFit="1" customWidth="1"/>
    <col min="32" max="32" width="45.83203125" bestFit="1" customWidth="1"/>
  </cols>
  <sheetData>
    <row r="1" spans="1:32" ht="16" customHeight="1" x14ac:dyDescent="0.2">
      <c r="A1" s="168" t="s">
        <v>49</v>
      </c>
      <c r="B1" s="169"/>
      <c r="C1" s="169"/>
      <c r="D1" s="169"/>
      <c r="E1" s="169"/>
      <c r="F1" s="169"/>
      <c r="G1" s="169"/>
      <c r="H1" s="169"/>
      <c r="I1" s="169"/>
      <c r="J1" s="170"/>
      <c r="L1" s="153" t="s">
        <v>50</v>
      </c>
      <c r="M1" s="154"/>
      <c r="N1" s="154"/>
      <c r="O1" s="154"/>
      <c r="P1" s="154"/>
      <c r="Q1" s="154"/>
      <c r="R1" s="154"/>
      <c r="S1" s="154"/>
      <c r="T1" s="154"/>
      <c r="U1" s="155"/>
      <c r="W1" s="159" t="s">
        <v>51</v>
      </c>
      <c r="X1" s="160"/>
      <c r="Y1" s="160"/>
      <c r="Z1" s="160"/>
      <c r="AA1" s="160"/>
      <c r="AB1" s="160"/>
      <c r="AC1" s="160"/>
      <c r="AD1" s="160"/>
      <c r="AE1" s="160"/>
      <c r="AF1" s="161"/>
    </row>
    <row r="2" spans="1:32" ht="17" customHeight="1" thickBot="1" x14ac:dyDescent="0.25">
      <c r="A2" s="171"/>
      <c r="B2" s="172"/>
      <c r="C2" s="172"/>
      <c r="D2" s="172"/>
      <c r="E2" s="172"/>
      <c r="F2" s="172"/>
      <c r="G2" s="172"/>
      <c r="H2" s="172"/>
      <c r="I2" s="172"/>
      <c r="J2" s="173"/>
      <c r="L2" s="156"/>
      <c r="M2" s="157"/>
      <c r="N2" s="157"/>
      <c r="O2" s="157"/>
      <c r="P2" s="157"/>
      <c r="Q2" s="157"/>
      <c r="R2" s="157"/>
      <c r="S2" s="157"/>
      <c r="T2" s="157"/>
      <c r="U2" s="158"/>
      <c r="W2" s="162"/>
      <c r="X2" s="163"/>
      <c r="Y2" s="163"/>
      <c r="Z2" s="163"/>
      <c r="AA2" s="163"/>
      <c r="AB2" s="163"/>
      <c r="AC2" s="163"/>
      <c r="AD2" s="163"/>
      <c r="AE2" s="163"/>
      <c r="AF2" s="164"/>
    </row>
    <row r="3" spans="1:32" ht="35" customHeight="1" x14ac:dyDescent="0.2">
      <c r="A3" s="65" t="s">
        <v>35</v>
      </c>
      <c r="B3" s="120" t="s">
        <v>57</v>
      </c>
      <c r="C3" s="120" t="s">
        <v>36</v>
      </c>
      <c r="D3" s="120" t="s">
        <v>69</v>
      </c>
      <c r="E3" s="120" t="s">
        <v>58</v>
      </c>
      <c r="F3" s="120" t="s">
        <v>59</v>
      </c>
      <c r="G3" s="120" t="s">
        <v>4</v>
      </c>
      <c r="H3" s="120" t="s">
        <v>5</v>
      </c>
      <c r="I3" s="120" t="s">
        <v>6</v>
      </c>
      <c r="J3" s="121" t="s">
        <v>56</v>
      </c>
      <c r="L3" s="65" t="s">
        <v>35</v>
      </c>
      <c r="M3" s="58" t="s">
        <v>57</v>
      </c>
      <c r="N3" s="58" t="s">
        <v>36</v>
      </c>
      <c r="O3" s="58" t="s">
        <v>60</v>
      </c>
      <c r="P3" s="58" t="s">
        <v>58</v>
      </c>
      <c r="Q3" s="58" t="s">
        <v>59</v>
      </c>
      <c r="R3" s="58" t="s">
        <v>4</v>
      </c>
      <c r="S3" s="58" t="s">
        <v>5</v>
      </c>
      <c r="T3" s="58" t="s">
        <v>6</v>
      </c>
      <c r="U3" s="58" t="s">
        <v>56</v>
      </c>
      <c r="W3" s="65" t="s">
        <v>35</v>
      </c>
      <c r="X3" s="58" t="s">
        <v>57</v>
      </c>
      <c r="Y3" s="58" t="s">
        <v>36</v>
      </c>
      <c r="Z3" s="58" t="s">
        <v>60</v>
      </c>
      <c r="AA3" s="58" t="s">
        <v>58</v>
      </c>
      <c r="AB3" s="58" t="s">
        <v>59</v>
      </c>
      <c r="AC3" s="58" t="s">
        <v>4</v>
      </c>
      <c r="AD3" s="58" t="s">
        <v>5</v>
      </c>
      <c r="AE3" s="58" t="s">
        <v>6</v>
      </c>
      <c r="AF3" s="128" t="s">
        <v>56</v>
      </c>
    </row>
    <row r="4" spans="1:32" ht="17" customHeight="1" x14ac:dyDescent="0.2">
      <c r="A4" s="165">
        <f>'Sample Metadata'!D2</f>
        <v>0</v>
      </c>
      <c r="D4" s="152"/>
      <c r="E4"/>
      <c r="F4" s="61"/>
      <c r="G4" s="124"/>
      <c r="H4" s="124"/>
      <c r="I4" s="124"/>
      <c r="J4" s="62"/>
      <c r="K4" s="59"/>
      <c r="L4" s="167">
        <f>A4</f>
        <v>0</v>
      </c>
      <c r="O4" s="152"/>
      <c r="Q4" s="61"/>
      <c r="R4" s="24"/>
      <c r="S4" s="24"/>
      <c r="T4" s="24"/>
      <c r="U4" s="62"/>
      <c r="W4" s="165">
        <f>L4</f>
        <v>0</v>
      </c>
      <c r="Z4" s="152"/>
      <c r="AB4" s="61"/>
      <c r="AC4" s="24"/>
      <c r="AD4" s="24"/>
      <c r="AE4" s="24"/>
      <c r="AF4" s="62"/>
    </row>
    <row r="5" spans="1:32" ht="17" customHeight="1" x14ac:dyDescent="0.2">
      <c r="A5" s="166"/>
      <c r="D5" s="151"/>
      <c r="E5"/>
      <c r="F5" s="61"/>
      <c r="G5" s="124"/>
      <c r="H5" s="124"/>
      <c r="I5" s="124"/>
      <c r="J5" s="62"/>
      <c r="L5" s="165"/>
      <c r="O5" s="151"/>
      <c r="Q5" s="61"/>
      <c r="R5" s="24"/>
      <c r="S5" s="24"/>
      <c r="T5" s="24"/>
      <c r="U5" s="62"/>
      <c r="W5" s="166"/>
      <c r="Z5" s="151"/>
      <c r="AB5" s="61"/>
      <c r="AC5" s="24"/>
      <c r="AD5" s="24"/>
      <c r="AE5" s="24"/>
      <c r="AF5" s="62"/>
    </row>
    <row r="6" spans="1:32" ht="17" customHeight="1" x14ac:dyDescent="0.2">
      <c r="A6" s="166">
        <f>'Sample Metadata'!D3</f>
        <v>0</v>
      </c>
      <c r="D6" s="149"/>
      <c r="E6"/>
      <c r="F6" s="61"/>
      <c r="G6" s="124"/>
      <c r="H6" s="124"/>
      <c r="I6" s="124"/>
      <c r="J6" s="62"/>
      <c r="L6" s="174">
        <f>A6</f>
        <v>0</v>
      </c>
      <c r="O6" s="149"/>
      <c r="Q6" s="61"/>
      <c r="R6" s="24"/>
      <c r="S6" s="24"/>
      <c r="T6" s="24"/>
      <c r="U6" s="62"/>
      <c r="W6" s="166">
        <f>L6</f>
        <v>0</v>
      </c>
      <c r="Z6" s="149"/>
      <c r="AB6" s="61"/>
      <c r="AC6" s="24"/>
      <c r="AD6" s="24"/>
      <c r="AE6" s="24"/>
      <c r="AF6" s="62"/>
    </row>
    <row r="7" spans="1:32" ht="17" customHeight="1" x14ac:dyDescent="0.2">
      <c r="A7" s="166"/>
      <c r="D7" s="151"/>
      <c r="E7"/>
      <c r="F7" s="61"/>
      <c r="G7" s="124"/>
      <c r="H7" s="124"/>
      <c r="I7" s="124"/>
      <c r="J7" s="62"/>
      <c r="L7" s="165"/>
      <c r="O7" s="151"/>
      <c r="Q7" s="61"/>
      <c r="R7" s="24"/>
      <c r="S7" s="24"/>
      <c r="T7" s="24"/>
      <c r="U7" s="62"/>
      <c r="W7" s="166"/>
      <c r="Z7" s="151"/>
      <c r="AB7" s="61"/>
      <c r="AC7" s="24"/>
      <c r="AD7" s="24"/>
      <c r="AE7" s="24"/>
      <c r="AF7" s="62"/>
    </row>
    <row r="8" spans="1:32" ht="17" customHeight="1" x14ac:dyDescent="0.2">
      <c r="A8" s="166">
        <f>'Sample Metadata'!D4</f>
        <v>0</v>
      </c>
      <c r="D8" s="149"/>
      <c r="E8"/>
      <c r="F8" s="61"/>
      <c r="G8" s="124"/>
      <c r="H8" s="124"/>
      <c r="I8" s="124"/>
      <c r="J8" s="62"/>
      <c r="L8" s="174">
        <f>A8</f>
        <v>0</v>
      </c>
      <c r="O8" s="149"/>
      <c r="Q8" s="61"/>
      <c r="R8" s="24"/>
      <c r="S8" s="24"/>
      <c r="T8" s="24"/>
      <c r="U8" s="62"/>
      <c r="W8" s="166">
        <f>L8</f>
        <v>0</v>
      </c>
      <c r="Z8" s="149"/>
      <c r="AB8" s="61"/>
      <c r="AC8" s="24"/>
      <c r="AD8" s="24"/>
      <c r="AE8" s="24"/>
      <c r="AF8" s="62"/>
    </row>
    <row r="9" spans="1:32" ht="17" customHeight="1" x14ac:dyDescent="0.2">
      <c r="A9" s="166"/>
      <c r="D9" s="151"/>
      <c r="E9"/>
      <c r="F9" s="61"/>
      <c r="G9" s="124"/>
      <c r="H9" s="124"/>
      <c r="I9" s="124"/>
      <c r="J9" s="62"/>
      <c r="L9" s="165"/>
      <c r="O9" s="151"/>
      <c r="Q9" s="61"/>
      <c r="R9" s="24"/>
      <c r="S9" s="24"/>
      <c r="T9" s="24"/>
      <c r="U9" s="62"/>
      <c r="W9" s="166"/>
      <c r="Z9" s="151"/>
      <c r="AB9" s="61"/>
      <c r="AC9" s="24"/>
      <c r="AD9" s="24"/>
      <c r="AE9" s="24"/>
      <c r="AF9" s="62"/>
    </row>
    <row r="10" spans="1:32" ht="17" customHeight="1" x14ac:dyDescent="0.2">
      <c r="A10" s="166">
        <f>'Sample Metadata'!D5</f>
        <v>0</v>
      </c>
      <c r="D10" s="149"/>
      <c r="E10"/>
      <c r="F10" s="61"/>
      <c r="G10" s="124"/>
      <c r="H10" s="124"/>
      <c r="I10" s="124"/>
      <c r="J10" s="62"/>
      <c r="L10" s="174">
        <f>A10</f>
        <v>0</v>
      </c>
      <c r="O10" s="149"/>
      <c r="Q10" s="61"/>
      <c r="R10" s="24"/>
      <c r="S10" s="24"/>
      <c r="T10" s="24"/>
      <c r="U10" s="62"/>
      <c r="W10" s="166">
        <f>L10</f>
        <v>0</v>
      </c>
      <c r="Z10" s="149"/>
      <c r="AB10" s="61"/>
      <c r="AC10" s="24"/>
      <c r="AD10" s="24"/>
      <c r="AE10" s="24"/>
      <c r="AF10" s="62"/>
    </row>
    <row r="11" spans="1:32" ht="17" customHeight="1" x14ac:dyDescent="0.2">
      <c r="A11" s="166"/>
      <c r="D11" s="151"/>
      <c r="E11"/>
      <c r="F11" s="61"/>
      <c r="G11" s="124"/>
      <c r="H11" s="124"/>
      <c r="I11" s="124"/>
      <c r="J11" s="62"/>
      <c r="L11" s="165"/>
      <c r="O11" s="151"/>
      <c r="Q11" s="61"/>
      <c r="R11" s="24"/>
      <c r="S11" s="24"/>
      <c r="T11" s="24"/>
      <c r="U11" s="62"/>
      <c r="W11" s="166"/>
      <c r="Z11" s="151"/>
      <c r="AB11" s="61"/>
      <c r="AC11" s="24"/>
      <c r="AD11" s="24"/>
      <c r="AE11" s="24"/>
      <c r="AF11" s="62"/>
    </row>
    <row r="12" spans="1:32" ht="17" customHeight="1" x14ac:dyDescent="0.2">
      <c r="A12" s="166">
        <f>'Sample Metadata'!D6</f>
        <v>0</v>
      </c>
      <c r="D12" s="149"/>
      <c r="E12"/>
      <c r="F12" s="61"/>
      <c r="G12" s="124"/>
      <c r="H12" s="124"/>
      <c r="I12" s="124"/>
      <c r="J12" s="62"/>
      <c r="L12" s="174">
        <f>A12</f>
        <v>0</v>
      </c>
      <c r="O12" s="149"/>
      <c r="Q12" s="61"/>
      <c r="R12" s="24"/>
      <c r="S12" s="24"/>
      <c r="T12" s="24"/>
      <c r="U12" s="62"/>
      <c r="W12" s="166">
        <f>L12</f>
        <v>0</v>
      </c>
      <c r="Z12" s="149"/>
      <c r="AB12" s="61"/>
      <c r="AC12" s="24"/>
      <c r="AD12" s="24"/>
      <c r="AE12" s="24"/>
      <c r="AF12" s="62"/>
    </row>
    <row r="13" spans="1:32" ht="17" customHeight="1" x14ac:dyDescent="0.2">
      <c r="A13" s="166"/>
      <c r="D13" s="151"/>
      <c r="E13"/>
      <c r="F13" s="61"/>
      <c r="G13" s="124"/>
      <c r="H13" s="124"/>
      <c r="I13" s="124"/>
      <c r="J13" s="62"/>
      <c r="L13" s="165"/>
      <c r="O13" s="151"/>
      <c r="Q13" s="61"/>
      <c r="R13" s="24"/>
      <c r="S13" s="24"/>
      <c r="T13" s="24"/>
      <c r="U13" s="62"/>
      <c r="W13" s="166"/>
      <c r="Z13" s="151"/>
      <c r="AB13" s="61"/>
      <c r="AC13" s="24"/>
      <c r="AD13" s="24"/>
      <c r="AE13" s="24"/>
      <c r="AF13" s="62"/>
    </row>
    <row r="14" spans="1:32" ht="17" customHeight="1" x14ac:dyDescent="0.2">
      <c r="A14" s="166">
        <f>'Sample Metadata'!D7</f>
        <v>0</v>
      </c>
      <c r="D14" s="149"/>
      <c r="E14"/>
      <c r="F14" s="61"/>
      <c r="G14" s="124"/>
      <c r="H14" s="124"/>
      <c r="I14" s="124"/>
      <c r="J14" s="62"/>
      <c r="L14" s="174">
        <f>A14</f>
        <v>0</v>
      </c>
      <c r="O14" s="149"/>
      <c r="Q14" s="61"/>
      <c r="R14" s="24"/>
      <c r="S14" s="24"/>
      <c r="T14" s="24"/>
      <c r="U14" s="62"/>
      <c r="W14" s="166">
        <f>L14</f>
        <v>0</v>
      </c>
      <c r="Z14" s="149"/>
      <c r="AB14" s="61"/>
      <c r="AC14" s="24"/>
      <c r="AD14" s="24"/>
      <c r="AE14" s="24"/>
      <c r="AF14" s="62"/>
    </row>
    <row r="15" spans="1:32" ht="17" customHeight="1" x14ac:dyDescent="0.2">
      <c r="A15" s="166"/>
      <c r="D15" s="151"/>
      <c r="E15"/>
      <c r="F15" s="61"/>
      <c r="G15" s="124"/>
      <c r="H15" s="124"/>
      <c r="I15" s="124"/>
      <c r="J15" s="62"/>
      <c r="L15" s="165"/>
      <c r="O15" s="151"/>
      <c r="Q15" s="61"/>
      <c r="R15" s="24"/>
      <c r="S15" s="24"/>
      <c r="T15" s="24"/>
      <c r="U15" s="62"/>
      <c r="W15" s="166"/>
      <c r="Z15" s="151"/>
      <c r="AB15" s="61"/>
      <c r="AC15" s="24"/>
      <c r="AD15" s="24"/>
      <c r="AE15" s="24"/>
      <c r="AF15" s="62"/>
    </row>
    <row r="16" spans="1:32" ht="17" customHeight="1" x14ac:dyDescent="0.2">
      <c r="A16" s="166">
        <f>'Sample Metadata'!D8</f>
        <v>0</v>
      </c>
      <c r="D16" s="149"/>
      <c r="E16"/>
      <c r="F16" s="61"/>
      <c r="G16" s="124"/>
      <c r="H16" s="124"/>
      <c r="I16" s="124"/>
      <c r="J16" s="62"/>
      <c r="L16" s="174">
        <f>A16</f>
        <v>0</v>
      </c>
      <c r="O16" s="149"/>
      <c r="Q16" s="61"/>
      <c r="R16" s="24"/>
      <c r="S16" s="24"/>
      <c r="T16" s="24"/>
      <c r="U16" s="62"/>
      <c r="W16" s="166">
        <f>L16</f>
        <v>0</v>
      </c>
      <c r="Z16" s="149"/>
      <c r="AB16" s="61"/>
      <c r="AC16" s="24"/>
      <c r="AD16" s="24"/>
      <c r="AE16" s="24"/>
      <c r="AF16" s="62"/>
    </row>
    <row r="17" spans="1:32" ht="17" customHeight="1" x14ac:dyDescent="0.2">
      <c r="A17" s="166"/>
      <c r="D17" s="151"/>
      <c r="E17"/>
      <c r="F17" s="61"/>
      <c r="G17" s="124"/>
      <c r="H17" s="124"/>
      <c r="I17" s="124"/>
      <c r="J17" s="62"/>
      <c r="L17" s="165"/>
      <c r="O17" s="151"/>
      <c r="Q17" s="61"/>
      <c r="R17" s="24"/>
      <c r="S17" s="24"/>
      <c r="T17" s="24"/>
      <c r="U17" s="62"/>
      <c r="W17" s="166"/>
      <c r="Z17" s="151"/>
      <c r="AB17" s="61"/>
      <c r="AC17" s="24"/>
      <c r="AD17" s="24"/>
      <c r="AE17" s="24"/>
      <c r="AF17" s="62"/>
    </row>
    <row r="18" spans="1:32" ht="17" customHeight="1" x14ac:dyDescent="0.2">
      <c r="A18" s="166">
        <f>'Sample Metadata'!D9</f>
        <v>0</v>
      </c>
      <c r="D18" s="149"/>
      <c r="E18"/>
      <c r="F18" s="61"/>
      <c r="G18" s="124"/>
      <c r="H18" s="124"/>
      <c r="I18" s="124"/>
      <c r="J18" s="62"/>
      <c r="L18" s="174">
        <f>A18</f>
        <v>0</v>
      </c>
      <c r="O18" s="149"/>
      <c r="Q18" s="61"/>
      <c r="R18" s="24"/>
      <c r="S18" s="24"/>
      <c r="T18" s="24"/>
      <c r="U18" s="62"/>
      <c r="W18" s="166">
        <f>L18</f>
        <v>0</v>
      </c>
      <c r="Z18" s="149"/>
      <c r="AB18" s="61"/>
      <c r="AC18" s="24"/>
      <c r="AD18" s="24"/>
      <c r="AE18" s="24"/>
      <c r="AF18" s="62"/>
    </row>
    <row r="19" spans="1:32" ht="17" customHeight="1" x14ac:dyDescent="0.2">
      <c r="A19" s="166"/>
      <c r="D19" s="151"/>
      <c r="E19"/>
      <c r="F19" s="61"/>
      <c r="G19" s="124"/>
      <c r="H19" s="124"/>
      <c r="I19" s="124"/>
      <c r="J19" s="62"/>
      <c r="L19" s="165"/>
      <c r="O19" s="151"/>
      <c r="Q19" s="61"/>
      <c r="R19" s="24"/>
      <c r="S19" s="24"/>
      <c r="T19" s="24"/>
      <c r="U19" s="62"/>
      <c r="W19" s="166"/>
      <c r="Z19" s="151"/>
      <c r="AB19" s="61"/>
      <c r="AC19" s="24"/>
      <c r="AD19" s="24"/>
      <c r="AE19" s="24"/>
      <c r="AF19" s="62"/>
    </row>
    <row r="20" spans="1:32" ht="17" customHeight="1" x14ac:dyDescent="0.2">
      <c r="A20" s="166">
        <f>'Sample Metadata'!D10</f>
        <v>0</v>
      </c>
      <c r="D20" s="149"/>
      <c r="E20"/>
      <c r="F20" s="61"/>
      <c r="G20" s="124"/>
      <c r="H20" s="124"/>
      <c r="I20" s="124"/>
      <c r="J20" s="62"/>
      <c r="L20" s="174">
        <f>A20</f>
        <v>0</v>
      </c>
      <c r="O20" s="149"/>
      <c r="Q20" s="61"/>
      <c r="R20" s="24"/>
      <c r="S20" s="24"/>
      <c r="T20" s="24"/>
      <c r="U20" s="62"/>
      <c r="W20" s="166">
        <f>L20</f>
        <v>0</v>
      </c>
      <c r="Z20" s="149"/>
      <c r="AB20" s="61"/>
      <c r="AC20" s="24"/>
      <c r="AD20" s="24"/>
      <c r="AE20" s="24"/>
      <c r="AF20" s="62"/>
    </row>
    <row r="21" spans="1:32" ht="17" customHeight="1" x14ac:dyDescent="0.2">
      <c r="A21" s="166"/>
      <c r="D21" s="151"/>
      <c r="E21"/>
      <c r="F21" s="61"/>
      <c r="G21" s="124"/>
      <c r="H21" s="124"/>
      <c r="I21" s="124"/>
      <c r="J21" s="62"/>
      <c r="L21" s="165"/>
      <c r="O21" s="151"/>
      <c r="Q21" s="61"/>
      <c r="R21" s="24"/>
      <c r="S21" s="24"/>
      <c r="T21" s="24"/>
      <c r="U21" s="62"/>
      <c r="W21" s="166"/>
      <c r="Z21" s="151"/>
      <c r="AB21" s="61"/>
      <c r="AC21" s="24"/>
      <c r="AD21" s="24"/>
      <c r="AE21" s="24"/>
      <c r="AF21" s="62"/>
    </row>
    <row r="22" spans="1:32" ht="17" customHeight="1" x14ac:dyDescent="0.2">
      <c r="A22" s="166">
        <f>'Sample Metadata'!D11</f>
        <v>0</v>
      </c>
      <c r="D22" s="149"/>
      <c r="E22"/>
      <c r="F22" s="61"/>
      <c r="G22" s="124"/>
      <c r="H22" s="124"/>
      <c r="I22" s="124"/>
      <c r="J22" s="62"/>
      <c r="L22" s="174">
        <f>A22</f>
        <v>0</v>
      </c>
      <c r="O22" s="149"/>
      <c r="Q22" s="61"/>
      <c r="R22" s="24"/>
      <c r="S22" s="24"/>
      <c r="T22" s="24"/>
      <c r="U22" s="62"/>
      <c r="W22" s="166">
        <f>L22</f>
        <v>0</v>
      </c>
      <c r="Z22" s="149"/>
      <c r="AB22" s="61"/>
      <c r="AC22" s="24"/>
      <c r="AD22" s="24"/>
      <c r="AE22" s="24"/>
      <c r="AF22" s="62"/>
    </row>
    <row r="23" spans="1:32" ht="17" customHeight="1" x14ac:dyDescent="0.2">
      <c r="A23" s="166"/>
      <c r="D23" s="151"/>
      <c r="E23"/>
      <c r="F23" s="61"/>
      <c r="G23" s="124"/>
      <c r="H23" s="124"/>
      <c r="I23" s="124"/>
      <c r="J23" s="62"/>
      <c r="L23" s="165"/>
      <c r="O23" s="151"/>
      <c r="Q23" s="61"/>
      <c r="R23" s="24"/>
      <c r="S23" s="24"/>
      <c r="T23" s="24"/>
      <c r="U23" s="62"/>
      <c r="W23" s="166"/>
      <c r="Z23" s="151"/>
      <c r="AB23" s="61"/>
      <c r="AC23" s="24"/>
      <c r="AD23" s="24"/>
      <c r="AE23" s="24"/>
      <c r="AF23" s="62"/>
    </row>
    <row r="24" spans="1:32" ht="17" customHeight="1" x14ac:dyDescent="0.2">
      <c r="A24" s="166">
        <f>'Sample Metadata'!D12</f>
        <v>0</v>
      </c>
      <c r="D24" s="149"/>
      <c r="E24"/>
      <c r="F24" s="61"/>
      <c r="G24" s="124"/>
      <c r="H24" s="124"/>
      <c r="I24" s="124"/>
      <c r="J24" s="62"/>
      <c r="L24" s="174">
        <f>A24</f>
        <v>0</v>
      </c>
      <c r="O24" s="149"/>
      <c r="Q24" s="61"/>
      <c r="R24" s="24"/>
      <c r="S24" s="24"/>
      <c r="T24" s="24"/>
      <c r="U24" s="62"/>
      <c r="W24" s="166">
        <f>L24</f>
        <v>0</v>
      </c>
      <c r="Z24" s="149"/>
      <c r="AB24" s="61"/>
      <c r="AC24" s="24"/>
      <c r="AD24" s="24"/>
      <c r="AE24" s="24"/>
      <c r="AF24" s="62"/>
    </row>
    <row r="25" spans="1:32" ht="17" customHeight="1" x14ac:dyDescent="0.2">
      <c r="A25" s="166"/>
      <c r="D25" s="151"/>
      <c r="E25"/>
      <c r="F25" s="61"/>
      <c r="G25" s="124"/>
      <c r="H25" s="124"/>
      <c r="I25" s="124"/>
      <c r="J25" s="62"/>
      <c r="L25" s="165"/>
      <c r="O25" s="151"/>
      <c r="Q25" s="61"/>
      <c r="R25" s="24"/>
      <c r="S25" s="24"/>
      <c r="T25" s="24"/>
      <c r="U25" s="62"/>
      <c r="W25" s="166"/>
      <c r="Z25" s="151"/>
      <c r="AB25" s="61"/>
      <c r="AC25" s="24"/>
      <c r="AD25" s="24"/>
      <c r="AE25" s="24"/>
      <c r="AF25" s="62"/>
    </row>
    <row r="26" spans="1:32" ht="17" customHeight="1" x14ac:dyDescent="0.2">
      <c r="A26" s="166">
        <f>'Sample Metadata'!D13</f>
        <v>0</v>
      </c>
      <c r="D26" s="149"/>
      <c r="E26"/>
      <c r="F26" s="61"/>
      <c r="G26" s="124"/>
      <c r="H26" s="124"/>
      <c r="I26" s="124"/>
      <c r="J26" s="62"/>
      <c r="L26" s="174">
        <f>A26</f>
        <v>0</v>
      </c>
      <c r="O26" s="149"/>
      <c r="Q26" s="61"/>
      <c r="R26" s="24"/>
      <c r="S26" s="24"/>
      <c r="T26" s="24"/>
      <c r="U26" s="62"/>
      <c r="W26" s="166">
        <f>L26</f>
        <v>0</v>
      </c>
      <c r="Z26" s="149"/>
      <c r="AB26" s="61"/>
      <c r="AC26" s="24"/>
      <c r="AD26" s="24"/>
      <c r="AE26" s="24"/>
      <c r="AF26" s="62"/>
    </row>
    <row r="27" spans="1:32" ht="17" customHeight="1" x14ac:dyDescent="0.2">
      <c r="A27" s="166"/>
      <c r="D27" s="151"/>
      <c r="E27"/>
      <c r="F27" s="61"/>
      <c r="G27" s="124"/>
      <c r="H27" s="124"/>
      <c r="I27" s="124"/>
      <c r="J27" s="62"/>
      <c r="L27" s="165"/>
      <c r="O27" s="151"/>
      <c r="Q27" s="61"/>
      <c r="R27" s="24"/>
      <c r="S27" s="24"/>
      <c r="T27" s="24"/>
      <c r="U27" s="62"/>
      <c r="W27" s="166"/>
      <c r="Z27" s="151"/>
      <c r="AB27" s="61"/>
      <c r="AC27" s="24"/>
      <c r="AD27" s="24"/>
      <c r="AE27" s="24"/>
      <c r="AF27" s="62"/>
    </row>
    <row r="28" spans="1:32" ht="17" customHeight="1" x14ac:dyDescent="0.2">
      <c r="A28" s="166">
        <f>'Sample Metadata'!D14</f>
        <v>0</v>
      </c>
      <c r="D28" s="149"/>
      <c r="E28"/>
      <c r="F28" s="61"/>
      <c r="G28" s="124"/>
      <c r="H28" s="124"/>
      <c r="I28" s="124"/>
      <c r="J28" s="62"/>
      <c r="L28" s="174">
        <f>A28</f>
        <v>0</v>
      </c>
      <c r="O28" s="149"/>
      <c r="Q28" s="61"/>
      <c r="R28" s="24"/>
      <c r="S28" s="24"/>
      <c r="T28" s="24"/>
      <c r="U28" s="62"/>
      <c r="W28" s="166">
        <f>L28</f>
        <v>0</v>
      </c>
      <c r="Z28" s="149"/>
      <c r="AB28" s="61"/>
      <c r="AC28" s="24"/>
      <c r="AD28" s="24"/>
      <c r="AE28" s="24"/>
      <c r="AF28" s="62"/>
    </row>
    <row r="29" spans="1:32" ht="17" customHeight="1" x14ac:dyDescent="0.2">
      <c r="A29" s="166"/>
      <c r="D29" s="151"/>
      <c r="E29"/>
      <c r="F29" s="61"/>
      <c r="G29" s="124"/>
      <c r="H29" s="124"/>
      <c r="I29" s="124"/>
      <c r="J29" s="62"/>
      <c r="L29" s="165"/>
      <c r="O29" s="151"/>
      <c r="Q29" s="61"/>
      <c r="R29" s="24"/>
      <c r="S29" s="24"/>
      <c r="T29" s="24"/>
      <c r="U29" s="62"/>
      <c r="W29" s="166"/>
      <c r="Z29" s="151"/>
      <c r="AB29" s="61"/>
      <c r="AC29" s="24"/>
      <c r="AD29" s="24"/>
      <c r="AE29" s="24"/>
      <c r="AF29" s="62"/>
    </row>
    <row r="30" spans="1:32" ht="17" customHeight="1" x14ac:dyDescent="0.2">
      <c r="A30" s="166">
        <f>'Sample Metadata'!D15</f>
        <v>0</v>
      </c>
      <c r="D30" s="149"/>
      <c r="E30"/>
      <c r="F30" s="61"/>
      <c r="G30" s="124"/>
      <c r="H30" s="124"/>
      <c r="I30" s="124"/>
      <c r="J30" s="62"/>
      <c r="L30" s="174">
        <f>A30</f>
        <v>0</v>
      </c>
      <c r="O30" s="149"/>
      <c r="Q30" s="61"/>
      <c r="R30" s="24"/>
      <c r="S30" s="24"/>
      <c r="T30" s="24"/>
      <c r="U30" s="62"/>
      <c r="W30" s="166">
        <f>L30</f>
        <v>0</v>
      </c>
      <c r="Z30" s="149"/>
      <c r="AB30" s="61"/>
      <c r="AC30" s="24"/>
      <c r="AD30" s="24"/>
      <c r="AE30" s="24"/>
      <c r="AF30" s="62"/>
    </row>
    <row r="31" spans="1:32" ht="17" customHeight="1" x14ac:dyDescent="0.2">
      <c r="A31" s="166"/>
      <c r="D31" s="151"/>
      <c r="E31"/>
      <c r="F31" s="61"/>
      <c r="G31" s="124"/>
      <c r="H31" s="124"/>
      <c r="I31" s="124"/>
      <c r="J31" s="62"/>
      <c r="L31" s="165"/>
      <c r="O31" s="151"/>
      <c r="Q31" s="61"/>
      <c r="R31" s="24"/>
      <c r="S31" s="24"/>
      <c r="T31" s="24"/>
      <c r="U31" s="62"/>
      <c r="W31" s="166"/>
      <c r="Z31" s="151"/>
      <c r="AB31" s="61"/>
      <c r="AC31" s="24"/>
      <c r="AD31" s="24"/>
      <c r="AE31" s="24"/>
      <c r="AF31" s="62"/>
    </row>
    <row r="32" spans="1:32" ht="17" customHeight="1" x14ac:dyDescent="0.2">
      <c r="A32" s="166">
        <f>'Sample Metadata'!D16</f>
        <v>0</v>
      </c>
      <c r="D32" s="149"/>
      <c r="E32"/>
      <c r="F32" s="61"/>
      <c r="G32" s="124"/>
      <c r="H32" s="124"/>
      <c r="I32" s="124"/>
      <c r="J32" s="62"/>
      <c r="L32" s="174">
        <f>A32</f>
        <v>0</v>
      </c>
      <c r="O32" s="149"/>
      <c r="Q32" s="61"/>
      <c r="R32" s="24"/>
      <c r="S32" s="24"/>
      <c r="T32" s="24"/>
      <c r="U32" s="62"/>
      <c r="W32" s="166">
        <f>L32</f>
        <v>0</v>
      </c>
      <c r="Z32" s="149"/>
      <c r="AB32" s="61"/>
      <c r="AC32" s="24"/>
      <c r="AD32" s="24"/>
      <c r="AE32" s="24"/>
      <c r="AF32" s="62"/>
    </row>
    <row r="33" spans="1:32" ht="17" customHeight="1" x14ac:dyDescent="0.2">
      <c r="A33" s="166"/>
      <c r="D33" s="151"/>
      <c r="E33"/>
      <c r="F33" s="61"/>
      <c r="G33" s="124"/>
      <c r="H33" s="124"/>
      <c r="I33" s="124"/>
      <c r="J33" s="62"/>
      <c r="L33" s="165"/>
      <c r="O33" s="151"/>
      <c r="Q33" s="61"/>
      <c r="R33" s="24"/>
      <c r="S33" s="24"/>
      <c r="T33" s="24"/>
      <c r="U33" s="62"/>
      <c r="W33" s="166"/>
      <c r="Z33" s="151"/>
      <c r="AB33" s="61"/>
      <c r="AC33" s="24"/>
      <c r="AD33" s="24"/>
      <c r="AE33" s="24"/>
      <c r="AF33" s="62"/>
    </row>
    <row r="34" spans="1:32" ht="17" customHeight="1" x14ac:dyDescent="0.2">
      <c r="A34" s="166">
        <f>'Sample Metadata'!D17</f>
        <v>0</v>
      </c>
      <c r="D34" s="149"/>
      <c r="E34"/>
      <c r="F34" s="61"/>
      <c r="G34" s="124"/>
      <c r="H34" s="124"/>
      <c r="I34" s="124"/>
      <c r="J34" s="62"/>
      <c r="L34" s="174">
        <f>A34</f>
        <v>0</v>
      </c>
      <c r="O34" s="149"/>
      <c r="Q34" s="61"/>
      <c r="R34" s="24"/>
      <c r="S34" s="24"/>
      <c r="T34" s="24"/>
      <c r="U34" s="62"/>
      <c r="W34" s="166">
        <f>L34</f>
        <v>0</v>
      </c>
      <c r="Z34" s="149"/>
      <c r="AB34" s="61"/>
      <c r="AC34" s="24"/>
      <c r="AD34" s="24"/>
      <c r="AE34" s="24"/>
      <c r="AF34" s="62"/>
    </row>
    <row r="35" spans="1:32" ht="17" customHeight="1" x14ac:dyDescent="0.2">
      <c r="A35" s="166"/>
      <c r="D35" s="151"/>
      <c r="E35"/>
      <c r="F35" s="61"/>
      <c r="G35" s="124"/>
      <c r="H35" s="124"/>
      <c r="I35" s="124"/>
      <c r="J35" s="62"/>
      <c r="L35" s="165"/>
      <c r="O35" s="151"/>
      <c r="Q35" s="61"/>
      <c r="R35" s="24"/>
      <c r="S35" s="24"/>
      <c r="T35" s="24"/>
      <c r="U35" s="62"/>
      <c r="W35" s="166"/>
      <c r="Z35" s="151"/>
      <c r="AB35" s="61"/>
      <c r="AC35" s="24"/>
      <c r="AD35" s="24"/>
      <c r="AE35" s="24"/>
      <c r="AF35" s="62"/>
    </row>
    <row r="36" spans="1:32" ht="17" customHeight="1" x14ac:dyDescent="0.2">
      <c r="A36" s="166">
        <f>'Sample Metadata'!D18</f>
        <v>0</v>
      </c>
      <c r="D36" s="149"/>
      <c r="E36"/>
      <c r="F36" s="61"/>
      <c r="G36" s="124"/>
      <c r="H36" s="124"/>
      <c r="I36" s="124"/>
      <c r="J36" s="62"/>
      <c r="L36" s="174">
        <f>A36</f>
        <v>0</v>
      </c>
      <c r="O36" s="149"/>
      <c r="Q36" s="61"/>
      <c r="R36" s="24"/>
      <c r="S36" s="24"/>
      <c r="T36" s="24"/>
      <c r="U36" s="62"/>
      <c r="W36" s="166">
        <f>L36</f>
        <v>0</v>
      </c>
      <c r="Z36" s="149"/>
      <c r="AB36" s="61"/>
      <c r="AC36" s="24"/>
      <c r="AD36" s="24"/>
      <c r="AE36" s="24"/>
      <c r="AF36" s="62"/>
    </row>
    <row r="37" spans="1:32" ht="17" customHeight="1" x14ac:dyDescent="0.2">
      <c r="A37" s="166"/>
      <c r="D37" s="151"/>
      <c r="E37"/>
      <c r="F37" s="61"/>
      <c r="G37" s="124"/>
      <c r="H37" s="124"/>
      <c r="I37" s="124"/>
      <c r="J37" s="62"/>
      <c r="L37" s="165"/>
      <c r="O37" s="151"/>
      <c r="Q37" s="61"/>
      <c r="R37" s="24"/>
      <c r="S37" s="24"/>
      <c r="T37" s="24"/>
      <c r="U37" s="62"/>
      <c r="W37" s="166"/>
      <c r="Z37" s="151"/>
      <c r="AB37" s="61"/>
      <c r="AC37" s="24"/>
      <c r="AD37" s="24"/>
      <c r="AE37" s="24"/>
      <c r="AF37" s="62"/>
    </row>
    <row r="38" spans="1:32" ht="17" customHeight="1" x14ac:dyDescent="0.2">
      <c r="A38" s="166">
        <f>'Sample Metadata'!D19</f>
        <v>0</v>
      </c>
      <c r="D38" s="149"/>
      <c r="E38"/>
      <c r="F38" s="61"/>
      <c r="G38" s="124"/>
      <c r="H38" s="124"/>
      <c r="I38" s="124"/>
      <c r="J38" s="62"/>
      <c r="L38" s="174">
        <f>A38</f>
        <v>0</v>
      </c>
      <c r="O38" s="149"/>
      <c r="Q38" s="61"/>
      <c r="R38" s="24"/>
      <c r="S38" s="24"/>
      <c r="T38" s="24"/>
      <c r="U38" s="62"/>
      <c r="W38" s="166">
        <f>L38</f>
        <v>0</v>
      </c>
      <c r="Z38" s="149"/>
      <c r="AB38" s="61"/>
      <c r="AC38" s="24"/>
      <c r="AD38" s="24"/>
      <c r="AE38" s="24"/>
      <c r="AF38" s="62"/>
    </row>
    <row r="39" spans="1:32" ht="17" customHeight="1" x14ac:dyDescent="0.2">
      <c r="A39" s="166"/>
      <c r="D39" s="151"/>
      <c r="E39"/>
      <c r="F39" s="61"/>
      <c r="G39" s="124"/>
      <c r="H39" s="124"/>
      <c r="I39" s="124"/>
      <c r="J39" s="62"/>
      <c r="L39" s="165"/>
      <c r="O39" s="151"/>
      <c r="Q39" s="61"/>
      <c r="R39" s="24"/>
      <c r="S39" s="24"/>
      <c r="T39" s="24"/>
      <c r="U39" s="62"/>
      <c r="W39" s="166"/>
      <c r="Z39" s="151"/>
      <c r="AB39" s="61"/>
      <c r="AC39" s="24"/>
      <c r="AD39" s="24"/>
      <c r="AE39" s="24"/>
      <c r="AF39" s="62"/>
    </row>
    <row r="40" spans="1:32" ht="17" customHeight="1" x14ac:dyDescent="0.2">
      <c r="A40" s="166">
        <f>'Sample Metadata'!D20</f>
        <v>0</v>
      </c>
      <c r="D40" s="149"/>
      <c r="E40"/>
      <c r="F40" s="61"/>
      <c r="G40" s="124"/>
      <c r="H40" s="124"/>
      <c r="I40" s="124"/>
      <c r="J40" s="62"/>
      <c r="L40" s="174">
        <f>A40</f>
        <v>0</v>
      </c>
      <c r="O40" s="149"/>
      <c r="Q40" s="61"/>
      <c r="R40" s="24"/>
      <c r="S40" s="24"/>
      <c r="T40" s="24"/>
      <c r="U40" s="62"/>
      <c r="W40" s="166">
        <f>L40</f>
        <v>0</v>
      </c>
      <c r="Z40" s="149"/>
      <c r="AB40" s="61"/>
      <c r="AC40" s="24"/>
      <c r="AD40" s="24"/>
      <c r="AE40" s="24"/>
      <c r="AF40" s="62"/>
    </row>
    <row r="41" spans="1:32" ht="17" customHeight="1" x14ac:dyDescent="0.2">
      <c r="A41" s="166"/>
      <c r="D41" s="151"/>
      <c r="E41"/>
      <c r="F41" s="61"/>
      <c r="G41" s="124"/>
      <c r="H41" s="124"/>
      <c r="I41" s="124"/>
      <c r="J41" s="62"/>
      <c r="L41" s="165"/>
      <c r="O41" s="151"/>
      <c r="Q41" s="61"/>
      <c r="R41" s="24"/>
      <c r="S41" s="24"/>
      <c r="T41" s="24"/>
      <c r="U41" s="62"/>
      <c r="W41" s="166"/>
      <c r="Z41" s="151"/>
      <c r="AB41" s="61"/>
      <c r="AC41" s="24"/>
      <c r="AD41" s="24"/>
      <c r="AE41" s="24"/>
      <c r="AF41" s="62"/>
    </row>
    <row r="42" spans="1:32" ht="17" customHeight="1" x14ac:dyDescent="0.2">
      <c r="A42" s="166">
        <f>'Sample Metadata'!D21</f>
        <v>0</v>
      </c>
      <c r="D42" s="149"/>
      <c r="E42"/>
      <c r="F42" s="61"/>
      <c r="G42" s="124"/>
      <c r="H42" s="124"/>
      <c r="I42" s="124"/>
      <c r="J42" s="62"/>
      <c r="L42" s="174">
        <f>A42</f>
        <v>0</v>
      </c>
      <c r="O42" s="149"/>
      <c r="Q42" s="61"/>
      <c r="R42" s="24"/>
      <c r="S42" s="24"/>
      <c r="T42" s="24"/>
      <c r="U42" s="62"/>
      <c r="W42" s="166">
        <f>L42</f>
        <v>0</v>
      </c>
      <c r="Z42" s="149"/>
      <c r="AB42" s="61"/>
      <c r="AC42" s="24"/>
      <c r="AD42" s="24"/>
      <c r="AE42" s="24"/>
      <c r="AF42" s="62"/>
    </row>
    <row r="43" spans="1:32" ht="17" customHeight="1" x14ac:dyDescent="0.2">
      <c r="A43" s="166"/>
      <c r="D43" s="151"/>
      <c r="E43"/>
      <c r="F43" s="61"/>
      <c r="G43" s="124"/>
      <c r="H43" s="124"/>
      <c r="I43" s="124"/>
      <c r="J43" s="62"/>
      <c r="L43" s="165"/>
      <c r="O43" s="151"/>
      <c r="Q43" s="61"/>
      <c r="R43" s="24"/>
      <c r="S43" s="24"/>
      <c r="T43" s="24"/>
      <c r="U43" s="62"/>
      <c r="W43" s="166"/>
      <c r="Z43" s="151"/>
      <c r="AB43" s="61"/>
      <c r="AC43" s="24"/>
      <c r="AD43" s="24"/>
      <c r="AE43" s="24"/>
      <c r="AF43" s="62"/>
    </row>
    <row r="44" spans="1:32" ht="17" customHeight="1" x14ac:dyDescent="0.2">
      <c r="A44" s="166">
        <f>'Sample Metadata'!D22</f>
        <v>0</v>
      </c>
      <c r="D44" s="149"/>
      <c r="E44"/>
      <c r="F44" s="61"/>
      <c r="G44" s="124"/>
      <c r="H44" s="124"/>
      <c r="I44" s="124"/>
      <c r="J44" s="62"/>
      <c r="L44" s="174">
        <f>A44</f>
        <v>0</v>
      </c>
      <c r="O44" s="149"/>
      <c r="Q44" s="61"/>
      <c r="R44" s="24"/>
      <c r="S44" s="24"/>
      <c r="T44" s="24"/>
      <c r="U44" s="62"/>
      <c r="W44" s="166">
        <f>L44</f>
        <v>0</v>
      </c>
      <c r="Z44" s="149"/>
      <c r="AB44" s="61"/>
      <c r="AC44" s="24"/>
      <c r="AD44" s="24"/>
      <c r="AE44" s="24"/>
      <c r="AF44" s="62"/>
    </row>
    <row r="45" spans="1:32" ht="17" customHeight="1" x14ac:dyDescent="0.2">
      <c r="A45" s="166"/>
      <c r="D45" s="151"/>
      <c r="E45"/>
      <c r="F45" s="61"/>
      <c r="G45" s="124"/>
      <c r="H45" s="124"/>
      <c r="I45" s="124"/>
      <c r="J45" s="62"/>
      <c r="L45" s="165"/>
      <c r="O45" s="151"/>
      <c r="Q45" s="61"/>
      <c r="R45" s="24"/>
      <c r="S45" s="24"/>
      <c r="T45" s="24"/>
      <c r="U45" s="62"/>
      <c r="W45" s="166"/>
      <c r="Z45" s="151"/>
      <c r="AB45" s="61"/>
      <c r="AC45" s="24"/>
      <c r="AD45" s="24"/>
      <c r="AE45" s="24"/>
      <c r="AF45" s="62"/>
    </row>
    <row r="46" spans="1:32" ht="17" customHeight="1" x14ac:dyDescent="0.2">
      <c r="A46" s="166">
        <f>'Sample Metadata'!D23</f>
        <v>0</v>
      </c>
      <c r="D46" s="149"/>
      <c r="E46"/>
      <c r="F46" s="61"/>
      <c r="G46" s="124"/>
      <c r="H46" s="124"/>
      <c r="I46" s="124"/>
      <c r="J46" s="62"/>
      <c r="L46" s="174">
        <f>A46</f>
        <v>0</v>
      </c>
      <c r="O46" s="149"/>
      <c r="Q46" s="61"/>
      <c r="R46" s="24"/>
      <c r="S46" s="24"/>
      <c r="T46" s="24"/>
      <c r="U46" s="62"/>
      <c r="W46" s="166">
        <f>L46</f>
        <v>0</v>
      </c>
      <c r="Z46" s="149"/>
      <c r="AB46" s="61"/>
      <c r="AC46" s="24"/>
      <c r="AD46" s="24"/>
      <c r="AE46" s="24"/>
      <c r="AF46" s="62"/>
    </row>
    <row r="47" spans="1:32" ht="17" customHeight="1" x14ac:dyDescent="0.2">
      <c r="A47" s="166"/>
      <c r="D47" s="151"/>
      <c r="E47"/>
      <c r="F47" s="61"/>
      <c r="G47" s="124"/>
      <c r="H47" s="124"/>
      <c r="I47" s="124"/>
      <c r="J47" s="62"/>
      <c r="L47" s="165"/>
      <c r="O47" s="151"/>
      <c r="Q47" s="61"/>
      <c r="R47" s="24"/>
      <c r="S47" s="24"/>
      <c r="T47" s="24"/>
      <c r="U47" s="62"/>
      <c r="W47" s="166"/>
      <c r="Z47" s="151"/>
      <c r="AB47" s="61"/>
      <c r="AC47" s="24"/>
      <c r="AD47" s="24"/>
      <c r="AE47" s="24"/>
      <c r="AF47" s="62"/>
    </row>
    <row r="48" spans="1:32" ht="17" customHeight="1" x14ac:dyDescent="0.2">
      <c r="A48" s="166">
        <f>'Sample Metadata'!D24</f>
        <v>0</v>
      </c>
      <c r="D48" s="149"/>
      <c r="E48"/>
      <c r="F48" s="61"/>
      <c r="G48" s="124"/>
      <c r="H48" s="124"/>
      <c r="I48" s="124"/>
      <c r="J48" s="62"/>
      <c r="L48" s="174">
        <f>A48</f>
        <v>0</v>
      </c>
      <c r="O48" s="149"/>
      <c r="Q48" s="61"/>
      <c r="R48" s="24"/>
      <c r="S48" s="24"/>
      <c r="T48" s="24"/>
      <c r="U48" s="62"/>
      <c r="W48" s="166">
        <f>L48</f>
        <v>0</v>
      </c>
      <c r="Z48" s="149"/>
      <c r="AB48" s="61"/>
      <c r="AC48" s="24"/>
      <c r="AD48" s="24"/>
      <c r="AE48" s="24"/>
      <c r="AF48" s="62"/>
    </row>
    <row r="49" spans="1:32" ht="17" customHeight="1" x14ac:dyDescent="0.2">
      <c r="A49" s="166"/>
      <c r="D49" s="151"/>
      <c r="E49"/>
      <c r="F49" s="61"/>
      <c r="G49" s="124"/>
      <c r="H49" s="124"/>
      <c r="I49" s="124"/>
      <c r="J49" s="62"/>
      <c r="L49" s="165"/>
      <c r="O49" s="151"/>
      <c r="Q49" s="61"/>
      <c r="R49" s="24"/>
      <c r="S49" s="24"/>
      <c r="T49" s="24"/>
      <c r="U49" s="62"/>
      <c r="W49" s="166"/>
      <c r="Z49" s="151"/>
      <c r="AB49" s="61"/>
      <c r="AC49" s="24"/>
      <c r="AD49" s="24"/>
      <c r="AE49" s="24"/>
      <c r="AF49" s="62"/>
    </row>
    <row r="50" spans="1:32" ht="17" customHeight="1" x14ac:dyDescent="0.2">
      <c r="A50" s="166">
        <f>'Sample Metadata'!D25</f>
        <v>0</v>
      </c>
      <c r="D50" s="149"/>
      <c r="E50"/>
      <c r="F50" s="61"/>
      <c r="G50" s="124"/>
      <c r="H50" s="124"/>
      <c r="I50" s="124"/>
      <c r="J50" s="62"/>
      <c r="L50" s="174">
        <f>A50</f>
        <v>0</v>
      </c>
      <c r="O50" s="149"/>
      <c r="Q50" s="61"/>
      <c r="R50" s="24"/>
      <c r="S50" s="24"/>
      <c r="T50" s="24"/>
      <c r="U50" s="62"/>
      <c r="W50" s="166">
        <f>L50</f>
        <v>0</v>
      </c>
      <c r="Z50" s="149"/>
      <c r="AB50" s="61"/>
      <c r="AC50" s="24"/>
      <c r="AD50" s="24"/>
      <c r="AE50" s="24"/>
      <c r="AF50" s="62"/>
    </row>
    <row r="51" spans="1:32" ht="17" customHeight="1" x14ac:dyDescent="0.2">
      <c r="A51" s="166"/>
      <c r="D51" s="151"/>
      <c r="E51"/>
      <c r="F51" s="61"/>
      <c r="G51" s="124"/>
      <c r="H51" s="124"/>
      <c r="I51" s="124"/>
      <c r="J51" s="62"/>
      <c r="L51" s="165"/>
      <c r="O51" s="151"/>
      <c r="Q51" s="61"/>
      <c r="R51" s="24"/>
      <c r="S51" s="24"/>
      <c r="T51" s="24"/>
      <c r="U51" s="62"/>
      <c r="W51" s="166"/>
      <c r="Z51" s="151"/>
      <c r="AB51" s="61"/>
      <c r="AC51" s="24"/>
      <c r="AD51" s="24"/>
      <c r="AE51" s="24"/>
      <c r="AF51" s="62"/>
    </row>
    <row r="52" spans="1:32" ht="17" customHeight="1" x14ac:dyDescent="0.2">
      <c r="A52" s="166">
        <f>'Sample Metadata'!D26</f>
        <v>0</v>
      </c>
      <c r="D52" s="149"/>
      <c r="E52"/>
      <c r="F52" s="61"/>
      <c r="G52" s="124"/>
      <c r="H52" s="124"/>
      <c r="I52" s="124"/>
      <c r="J52" s="62"/>
      <c r="L52" s="174">
        <f>A52</f>
        <v>0</v>
      </c>
      <c r="O52" s="149"/>
      <c r="Q52" s="61"/>
      <c r="R52" s="24"/>
      <c r="S52" s="24"/>
      <c r="T52" s="24"/>
      <c r="U52" s="63"/>
      <c r="W52" s="166">
        <f>L52</f>
        <v>0</v>
      </c>
      <c r="Z52" s="149"/>
      <c r="AB52" s="61"/>
      <c r="AC52" s="24"/>
      <c r="AD52" s="24"/>
      <c r="AE52" s="24"/>
      <c r="AF52" s="63"/>
    </row>
    <row r="53" spans="1:32" ht="17" customHeight="1" x14ac:dyDescent="0.2">
      <c r="A53" s="166"/>
      <c r="D53" s="151"/>
      <c r="E53"/>
      <c r="F53" s="61"/>
      <c r="G53" s="124"/>
      <c r="H53" s="124"/>
      <c r="I53" s="124"/>
      <c r="J53" s="62"/>
      <c r="L53" s="165"/>
      <c r="O53" s="151"/>
      <c r="Q53" s="61"/>
      <c r="R53" s="24"/>
      <c r="S53" s="24"/>
      <c r="T53" s="24"/>
      <c r="U53" s="63"/>
      <c r="W53" s="166"/>
      <c r="Z53" s="151"/>
      <c r="AB53" s="61"/>
      <c r="AC53" s="24"/>
      <c r="AD53" s="24"/>
      <c r="AE53" s="24"/>
      <c r="AF53" s="63"/>
    </row>
    <row r="54" spans="1:32" ht="17" customHeight="1" x14ac:dyDescent="0.2">
      <c r="A54" s="166">
        <f>'Sample Metadata'!D27</f>
        <v>0</v>
      </c>
      <c r="D54" s="149"/>
      <c r="E54"/>
      <c r="F54" s="61"/>
      <c r="G54" s="124"/>
      <c r="H54" s="124"/>
      <c r="I54" s="124"/>
      <c r="J54" s="62"/>
      <c r="L54" s="174">
        <f>A54</f>
        <v>0</v>
      </c>
      <c r="O54" s="149"/>
      <c r="Q54" s="61"/>
      <c r="R54" s="24"/>
      <c r="S54" s="24"/>
      <c r="T54" s="24"/>
      <c r="U54" s="62"/>
      <c r="W54" s="166">
        <f>L54</f>
        <v>0</v>
      </c>
      <c r="Z54" s="149"/>
      <c r="AB54" s="61"/>
      <c r="AC54" s="24"/>
      <c r="AD54" s="24"/>
      <c r="AE54" s="24"/>
      <c r="AF54" s="62"/>
    </row>
    <row r="55" spans="1:32" ht="17" customHeight="1" x14ac:dyDescent="0.2">
      <c r="A55" s="166"/>
      <c r="D55" s="151"/>
      <c r="E55"/>
      <c r="F55" s="61"/>
      <c r="G55" s="124"/>
      <c r="H55" s="124"/>
      <c r="I55" s="124"/>
      <c r="J55" s="62"/>
      <c r="L55" s="165"/>
      <c r="O55" s="151"/>
      <c r="Q55" s="61"/>
      <c r="R55" s="24"/>
      <c r="S55" s="24"/>
      <c r="T55" s="24"/>
      <c r="U55" s="62"/>
      <c r="W55" s="166"/>
      <c r="Z55" s="151"/>
      <c r="AB55" s="61"/>
      <c r="AC55" s="24"/>
      <c r="AD55" s="24"/>
      <c r="AE55" s="24"/>
      <c r="AF55" s="62"/>
    </row>
    <row r="56" spans="1:32" ht="17" customHeight="1" x14ac:dyDescent="0.2">
      <c r="A56" s="166">
        <f>'Sample Metadata'!D28</f>
        <v>0</v>
      </c>
      <c r="D56" s="149"/>
      <c r="E56"/>
      <c r="F56" s="61"/>
      <c r="G56" s="124"/>
      <c r="H56" s="124"/>
      <c r="I56" s="124"/>
      <c r="J56" s="62"/>
      <c r="L56" s="174">
        <f>A56</f>
        <v>0</v>
      </c>
      <c r="O56" s="149"/>
      <c r="Q56" s="61"/>
      <c r="R56" s="24"/>
      <c r="S56" s="24"/>
      <c r="T56" s="24"/>
      <c r="U56" s="62"/>
      <c r="W56" s="166">
        <f>L56</f>
        <v>0</v>
      </c>
      <c r="Z56" s="149"/>
      <c r="AB56" s="61"/>
      <c r="AC56" s="24"/>
      <c r="AD56" s="24"/>
      <c r="AE56" s="24"/>
      <c r="AF56" s="62"/>
    </row>
    <row r="57" spans="1:32" ht="17" customHeight="1" x14ac:dyDescent="0.2">
      <c r="A57" s="166"/>
      <c r="D57" s="151"/>
      <c r="E57"/>
      <c r="F57" s="61"/>
      <c r="G57" s="124"/>
      <c r="H57" s="124"/>
      <c r="I57" s="124"/>
      <c r="J57" s="62"/>
      <c r="L57" s="165"/>
      <c r="O57" s="151"/>
      <c r="Q57" s="61"/>
      <c r="R57" s="24"/>
      <c r="S57" s="24"/>
      <c r="T57" s="24"/>
      <c r="U57" s="62"/>
      <c r="W57" s="166"/>
      <c r="Z57" s="151"/>
      <c r="AB57" s="61"/>
      <c r="AC57" s="24"/>
      <c r="AD57" s="24"/>
      <c r="AE57" s="24"/>
      <c r="AF57" s="62"/>
    </row>
    <row r="58" spans="1:32" ht="17" customHeight="1" x14ac:dyDescent="0.2">
      <c r="A58" s="166">
        <f>'Sample Metadata'!D29</f>
        <v>0</v>
      </c>
      <c r="D58" s="149"/>
      <c r="E58"/>
      <c r="F58" s="61"/>
      <c r="G58" s="124"/>
      <c r="H58" s="124"/>
      <c r="I58" s="124"/>
      <c r="J58" s="62"/>
      <c r="L58" s="174">
        <f>A58</f>
        <v>0</v>
      </c>
      <c r="O58" s="149"/>
      <c r="Q58" s="61"/>
      <c r="R58" s="24"/>
      <c r="S58" s="24"/>
      <c r="T58" s="24"/>
      <c r="U58" s="62"/>
      <c r="W58" s="166">
        <f>L58</f>
        <v>0</v>
      </c>
      <c r="Z58" s="149"/>
      <c r="AB58" s="61"/>
      <c r="AC58" s="24"/>
      <c r="AD58" s="24"/>
      <c r="AE58" s="24"/>
      <c r="AF58" s="62"/>
    </row>
    <row r="59" spans="1:32" ht="17" customHeight="1" x14ac:dyDescent="0.2">
      <c r="A59" s="166"/>
      <c r="D59" s="151"/>
      <c r="E59"/>
      <c r="F59" s="61"/>
      <c r="G59" s="124"/>
      <c r="H59" s="124"/>
      <c r="I59" s="124"/>
      <c r="J59" s="62"/>
      <c r="L59" s="165"/>
      <c r="O59" s="151"/>
      <c r="Q59" s="61"/>
      <c r="R59" s="24"/>
      <c r="S59" s="24"/>
      <c r="T59" s="24"/>
      <c r="U59" s="62"/>
      <c r="W59" s="166"/>
      <c r="Z59" s="151"/>
      <c r="AB59" s="61"/>
      <c r="AC59" s="24"/>
      <c r="AD59" s="24"/>
      <c r="AE59" s="24"/>
      <c r="AF59" s="62"/>
    </row>
    <row r="60" spans="1:32" ht="17" customHeight="1" x14ac:dyDescent="0.2">
      <c r="A60" s="166">
        <f>'Sample Metadata'!D30</f>
        <v>0</v>
      </c>
      <c r="D60" s="149"/>
      <c r="E60"/>
      <c r="F60" s="61"/>
      <c r="G60" s="124"/>
      <c r="H60" s="124"/>
      <c r="I60" s="124"/>
      <c r="J60" s="62"/>
      <c r="L60" s="174">
        <f>A60</f>
        <v>0</v>
      </c>
      <c r="O60" s="149"/>
      <c r="Q60" s="61"/>
      <c r="R60" s="24"/>
      <c r="S60" s="24"/>
      <c r="T60" s="24"/>
      <c r="U60" s="62"/>
      <c r="W60" s="166">
        <f>L60</f>
        <v>0</v>
      </c>
      <c r="Z60" s="149"/>
      <c r="AB60" s="61"/>
      <c r="AC60" s="24"/>
      <c r="AD60" s="24"/>
      <c r="AE60" s="24"/>
      <c r="AF60" s="62"/>
    </row>
    <row r="61" spans="1:32" ht="17" customHeight="1" x14ac:dyDescent="0.2">
      <c r="A61" s="166"/>
      <c r="D61" s="151"/>
      <c r="E61"/>
      <c r="F61" s="61"/>
      <c r="G61" s="124"/>
      <c r="H61" s="124"/>
      <c r="I61" s="124"/>
      <c r="J61" s="62"/>
      <c r="L61" s="165"/>
      <c r="O61" s="151"/>
      <c r="Q61" s="61"/>
      <c r="R61" s="24"/>
      <c r="S61" s="24"/>
      <c r="T61" s="24"/>
      <c r="U61" s="62"/>
      <c r="W61" s="166"/>
      <c r="Z61" s="151"/>
      <c r="AB61" s="61"/>
      <c r="AC61" s="24"/>
      <c r="AD61" s="24"/>
      <c r="AE61" s="24"/>
      <c r="AF61" s="62"/>
    </row>
    <row r="62" spans="1:32" ht="17" customHeight="1" x14ac:dyDescent="0.2">
      <c r="A62" s="166">
        <f>'Sample Metadata'!D31</f>
        <v>0</v>
      </c>
      <c r="D62" s="149"/>
      <c r="E62"/>
      <c r="F62" s="61"/>
      <c r="G62" s="124"/>
      <c r="H62" s="124"/>
      <c r="I62" s="124"/>
      <c r="J62" s="62"/>
      <c r="L62" s="174">
        <f>A62</f>
        <v>0</v>
      </c>
      <c r="O62" s="149"/>
      <c r="Q62" s="61"/>
      <c r="R62" s="24"/>
      <c r="S62" s="24"/>
      <c r="T62" s="24"/>
      <c r="U62" s="62"/>
      <c r="W62" s="166">
        <f>L62</f>
        <v>0</v>
      </c>
      <c r="Z62" s="149"/>
      <c r="AB62" s="61"/>
      <c r="AC62" s="24"/>
      <c r="AD62" s="24"/>
      <c r="AE62" s="24"/>
      <c r="AF62" s="62"/>
    </row>
    <row r="63" spans="1:32" ht="17" customHeight="1" x14ac:dyDescent="0.2">
      <c r="A63" s="166"/>
      <c r="D63" s="151"/>
      <c r="E63"/>
      <c r="F63" s="61"/>
      <c r="G63" s="124"/>
      <c r="H63" s="124"/>
      <c r="I63" s="124"/>
      <c r="J63" s="62"/>
      <c r="L63" s="165"/>
      <c r="O63" s="151"/>
      <c r="Q63" s="61"/>
      <c r="R63" s="24"/>
      <c r="S63" s="24"/>
      <c r="T63" s="24"/>
      <c r="U63" s="62"/>
      <c r="W63" s="166"/>
      <c r="Z63" s="151"/>
      <c r="AB63" s="61"/>
      <c r="AC63" s="24"/>
      <c r="AD63" s="24"/>
      <c r="AE63" s="24"/>
      <c r="AF63" s="62"/>
    </row>
    <row r="64" spans="1:32" ht="17" customHeight="1" x14ac:dyDescent="0.2">
      <c r="A64" s="166">
        <f>'Sample Metadata'!D32</f>
        <v>0</v>
      </c>
      <c r="D64" s="149"/>
      <c r="E64"/>
      <c r="F64" s="61"/>
      <c r="G64" s="124"/>
      <c r="H64" s="124"/>
      <c r="I64" s="124"/>
      <c r="J64" s="62"/>
      <c r="L64" s="174">
        <f>A64</f>
        <v>0</v>
      </c>
      <c r="O64" s="149"/>
      <c r="Q64" s="61"/>
      <c r="R64" s="24"/>
      <c r="S64" s="24"/>
      <c r="T64" s="24"/>
      <c r="U64" s="62"/>
      <c r="W64" s="166">
        <f>L64</f>
        <v>0</v>
      </c>
      <c r="Z64" s="149"/>
      <c r="AB64" s="61"/>
      <c r="AC64" s="24"/>
      <c r="AD64" s="24"/>
      <c r="AE64" s="24"/>
      <c r="AF64" s="62"/>
    </row>
    <row r="65" spans="1:32" ht="17" customHeight="1" x14ac:dyDescent="0.2">
      <c r="A65" s="166"/>
      <c r="D65" s="151"/>
      <c r="E65"/>
      <c r="F65" s="61"/>
      <c r="G65" s="124"/>
      <c r="H65" s="124"/>
      <c r="I65" s="124"/>
      <c r="J65" s="62"/>
      <c r="L65" s="165"/>
      <c r="O65" s="151"/>
      <c r="Q65" s="61"/>
      <c r="R65" s="24"/>
      <c r="S65" s="24"/>
      <c r="T65" s="24"/>
      <c r="U65" s="62"/>
      <c r="W65" s="166"/>
      <c r="Z65" s="151"/>
      <c r="AB65" s="61"/>
      <c r="AC65" s="24"/>
      <c r="AD65" s="24"/>
      <c r="AE65" s="24"/>
      <c r="AF65" s="62"/>
    </row>
    <row r="66" spans="1:32" ht="17" customHeight="1" x14ac:dyDescent="0.2">
      <c r="A66" s="166">
        <f>'Sample Metadata'!D33</f>
        <v>0</v>
      </c>
      <c r="D66" s="149"/>
      <c r="E66"/>
      <c r="F66" s="61"/>
      <c r="G66" s="124"/>
      <c r="H66" s="124"/>
      <c r="I66" s="124"/>
      <c r="J66" s="62"/>
      <c r="L66" s="174">
        <f>A66</f>
        <v>0</v>
      </c>
      <c r="O66" s="149"/>
      <c r="Q66" s="61"/>
      <c r="R66" s="24"/>
      <c r="S66" s="24"/>
      <c r="T66" s="24"/>
      <c r="U66" s="63"/>
      <c r="W66" s="166">
        <f>L66</f>
        <v>0</v>
      </c>
      <c r="Z66" s="149"/>
      <c r="AB66" s="61"/>
      <c r="AC66" s="24"/>
      <c r="AD66" s="24"/>
      <c r="AE66" s="24"/>
      <c r="AF66" s="63"/>
    </row>
    <row r="67" spans="1:32" ht="17" customHeight="1" x14ac:dyDescent="0.2">
      <c r="A67" s="174"/>
      <c r="D67" s="151"/>
      <c r="E67"/>
      <c r="F67" s="61"/>
      <c r="G67" s="124"/>
      <c r="H67" s="124"/>
      <c r="I67" s="124"/>
      <c r="J67" s="62"/>
      <c r="L67" s="167"/>
      <c r="O67" s="151"/>
      <c r="Q67" s="61"/>
      <c r="R67" s="24"/>
      <c r="S67" s="24"/>
      <c r="T67" s="24"/>
      <c r="U67" s="63"/>
      <c r="W67" s="174"/>
      <c r="Z67" s="151"/>
      <c r="AB67" s="61"/>
      <c r="AC67" s="24"/>
      <c r="AD67" s="24"/>
      <c r="AE67" s="24"/>
      <c r="AF67" s="63"/>
    </row>
    <row r="68" spans="1:32" x14ac:dyDescent="0.2">
      <c r="A68" s="166">
        <f>'Sample Metadata'!D34</f>
        <v>0</v>
      </c>
      <c r="D68" s="149"/>
      <c r="E68"/>
      <c r="F68" s="61"/>
      <c r="G68" s="124"/>
      <c r="H68" s="124"/>
      <c r="I68" s="124"/>
      <c r="J68" s="126"/>
      <c r="L68" s="166">
        <f>A68</f>
        <v>0</v>
      </c>
      <c r="O68" s="149"/>
      <c r="U68" s="122"/>
      <c r="W68" s="166">
        <f>L68</f>
        <v>0</v>
      </c>
      <c r="Z68" s="149"/>
      <c r="AF68" s="122"/>
    </row>
    <row r="69" spans="1:32" x14ac:dyDescent="0.2">
      <c r="A69" s="166"/>
      <c r="D69" s="151"/>
      <c r="E69"/>
      <c r="F69" s="61"/>
      <c r="G69" s="124"/>
      <c r="H69" s="124"/>
      <c r="I69" s="124"/>
      <c r="J69" s="126"/>
      <c r="L69" s="166"/>
      <c r="O69" s="151"/>
      <c r="U69" s="122"/>
      <c r="W69" s="166"/>
      <c r="Z69" s="151"/>
      <c r="AF69" s="122"/>
    </row>
    <row r="70" spans="1:32" x14ac:dyDescent="0.2">
      <c r="A70" s="166">
        <f>'Sample Metadata'!D35</f>
        <v>0</v>
      </c>
      <c r="D70" s="149"/>
      <c r="E70"/>
      <c r="F70" s="61"/>
      <c r="G70" s="124"/>
      <c r="H70" s="124"/>
      <c r="I70" s="124"/>
      <c r="J70" s="126"/>
      <c r="L70" s="167">
        <f>A70</f>
        <v>0</v>
      </c>
      <c r="O70" s="149"/>
      <c r="U70" s="122"/>
      <c r="W70" s="167">
        <f>L70</f>
        <v>0</v>
      </c>
      <c r="Z70" s="149"/>
      <c r="AF70" s="122"/>
    </row>
    <row r="71" spans="1:32" x14ac:dyDescent="0.2">
      <c r="A71" s="166"/>
      <c r="D71" s="151"/>
      <c r="E71"/>
      <c r="F71" s="61"/>
      <c r="G71" s="124"/>
      <c r="H71" s="124"/>
      <c r="I71" s="124"/>
      <c r="J71" s="126"/>
      <c r="L71" s="165"/>
      <c r="O71" s="151"/>
      <c r="U71" s="122"/>
      <c r="W71" s="165"/>
      <c r="Z71" s="151"/>
      <c r="AF71" s="122"/>
    </row>
    <row r="72" spans="1:32" x14ac:dyDescent="0.2">
      <c r="A72" s="166">
        <f>'Sample Metadata'!D36</f>
        <v>0</v>
      </c>
      <c r="D72" s="149"/>
      <c r="E72"/>
      <c r="F72" s="61"/>
      <c r="G72" s="124"/>
      <c r="H72" s="124"/>
      <c r="I72" s="124"/>
      <c r="J72" s="126"/>
      <c r="L72" s="174">
        <f>A72</f>
        <v>0</v>
      </c>
      <c r="O72" s="149"/>
      <c r="U72" s="122"/>
      <c r="W72" s="174">
        <f>L72</f>
        <v>0</v>
      </c>
      <c r="Z72" s="149"/>
      <c r="AF72" s="122"/>
    </row>
    <row r="73" spans="1:32" x14ac:dyDescent="0.2">
      <c r="A73" s="166"/>
      <c r="D73" s="151"/>
      <c r="E73"/>
      <c r="F73" s="61"/>
      <c r="G73" s="124"/>
      <c r="H73" s="124"/>
      <c r="I73" s="124"/>
      <c r="J73" s="126"/>
      <c r="L73" s="165"/>
      <c r="O73" s="151"/>
      <c r="U73" s="122"/>
      <c r="W73" s="165"/>
      <c r="Z73" s="151"/>
      <c r="AF73" s="122"/>
    </row>
    <row r="74" spans="1:32" x14ac:dyDescent="0.2">
      <c r="A74" s="166">
        <f>'Sample Metadata'!D37</f>
        <v>0</v>
      </c>
      <c r="D74" s="149"/>
      <c r="E74"/>
      <c r="F74" s="61"/>
      <c r="G74" s="124"/>
      <c r="H74" s="124"/>
      <c r="I74" s="124"/>
      <c r="J74" s="126"/>
      <c r="L74" s="174">
        <f>A74</f>
        <v>0</v>
      </c>
      <c r="O74" s="149"/>
      <c r="U74" s="122"/>
      <c r="W74" s="174">
        <f>L74</f>
        <v>0</v>
      </c>
      <c r="Z74" s="149"/>
      <c r="AF74" s="122"/>
    </row>
    <row r="75" spans="1:32" x14ac:dyDescent="0.2">
      <c r="A75" s="166"/>
      <c r="D75" s="151"/>
      <c r="E75"/>
      <c r="F75" s="61"/>
      <c r="G75" s="124"/>
      <c r="H75" s="124"/>
      <c r="I75" s="124"/>
      <c r="J75" s="126"/>
      <c r="L75" s="165"/>
      <c r="O75" s="151"/>
      <c r="U75" s="122"/>
      <c r="W75" s="165"/>
      <c r="Z75" s="151"/>
      <c r="AF75" s="122"/>
    </row>
    <row r="76" spans="1:32" x14ac:dyDescent="0.2">
      <c r="A76" s="166">
        <f>'Sample Metadata'!D38</f>
        <v>0</v>
      </c>
      <c r="D76" s="149"/>
      <c r="E76"/>
      <c r="F76" s="61"/>
      <c r="G76" s="124"/>
      <c r="H76" s="124"/>
      <c r="I76" s="124"/>
      <c r="J76" s="126"/>
      <c r="L76" s="174">
        <f>A76</f>
        <v>0</v>
      </c>
      <c r="O76" s="149"/>
      <c r="U76" s="122"/>
      <c r="W76" s="174">
        <f>L76</f>
        <v>0</v>
      </c>
      <c r="Z76" s="149"/>
      <c r="AF76" s="122"/>
    </row>
    <row r="77" spans="1:32" x14ac:dyDescent="0.2">
      <c r="A77" s="166"/>
      <c r="D77" s="151"/>
      <c r="E77"/>
      <c r="F77" s="61"/>
      <c r="G77" s="124"/>
      <c r="H77" s="124"/>
      <c r="I77" s="124"/>
      <c r="J77" s="126"/>
      <c r="L77" s="165"/>
      <c r="O77" s="151"/>
      <c r="U77" s="122"/>
      <c r="W77" s="165"/>
      <c r="Z77" s="151"/>
      <c r="AF77" s="122"/>
    </row>
    <row r="78" spans="1:32" x14ac:dyDescent="0.2">
      <c r="A78" s="166">
        <f>'Sample Metadata'!D39</f>
        <v>0</v>
      </c>
      <c r="D78" s="149"/>
      <c r="E78"/>
      <c r="F78" s="61"/>
      <c r="G78" s="124"/>
      <c r="H78" s="124"/>
      <c r="I78" s="124"/>
      <c r="J78" s="126"/>
      <c r="L78" s="174">
        <f>A78</f>
        <v>0</v>
      </c>
      <c r="O78" s="149"/>
      <c r="U78" s="122"/>
      <c r="W78" s="174">
        <f>L78</f>
        <v>0</v>
      </c>
      <c r="Z78" s="149"/>
      <c r="AF78" s="122"/>
    </row>
    <row r="79" spans="1:32" x14ac:dyDescent="0.2">
      <c r="A79" s="166"/>
      <c r="D79" s="151"/>
      <c r="E79"/>
      <c r="F79" s="61"/>
      <c r="G79" s="124"/>
      <c r="H79" s="124"/>
      <c r="I79" s="124"/>
      <c r="J79" s="126"/>
      <c r="L79" s="165"/>
      <c r="O79" s="151"/>
      <c r="U79" s="122"/>
      <c r="W79" s="165"/>
      <c r="Z79" s="151"/>
      <c r="AF79" s="122"/>
    </row>
    <row r="80" spans="1:32" x14ac:dyDescent="0.2">
      <c r="A80" s="166">
        <f>'Sample Metadata'!D40</f>
        <v>0</v>
      </c>
      <c r="D80" s="149"/>
      <c r="E80"/>
      <c r="F80" s="61"/>
      <c r="G80" s="124"/>
      <c r="H80" s="124"/>
      <c r="I80" s="124"/>
      <c r="J80" s="126"/>
      <c r="L80" s="174">
        <f>A80</f>
        <v>0</v>
      </c>
      <c r="O80" s="149"/>
      <c r="U80" s="122"/>
      <c r="W80" s="174">
        <f>L80</f>
        <v>0</v>
      </c>
      <c r="Z80" s="149"/>
      <c r="AF80" s="122"/>
    </row>
    <row r="81" spans="1:32" x14ac:dyDescent="0.2">
      <c r="A81" s="166"/>
      <c r="D81" s="151"/>
      <c r="E81"/>
      <c r="F81" s="61"/>
      <c r="G81" s="124"/>
      <c r="H81" s="124"/>
      <c r="I81" s="124"/>
      <c r="J81" s="126"/>
      <c r="L81" s="165"/>
      <c r="O81" s="151"/>
      <c r="U81" s="122"/>
      <c r="W81" s="165"/>
      <c r="Z81" s="151"/>
      <c r="AF81" s="122"/>
    </row>
    <row r="82" spans="1:32" x14ac:dyDescent="0.2">
      <c r="A82" s="166">
        <f>'Sample Metadata'!D41</f>
        <v>0</v>
      </c>
      <c r="D82" s="149"/>
      <c r="E82"/>
      <c r="F82" s="61"/>
      <c r="G82" s="124"/>
      <c r="H82" s="124"/>
      <c r="I82" s="124"/>
      <c r="J82" s="126"/>
      <c r="L82" s="174">
        <f>A82</f>
        <v>0</v>
      </c>
      <c r="O82" s="149"/>
      <c r="U82" s="122"/>
      <c r="W82" s="174">
        <f>L82</f>
        <v>0</v>
      </c>
      <c r="Z82" s="149"/>
      <c r="AF82" s="122"/>
    </row>
    <row r="83" spans="1:32" x14ac:dyDescent="0.2">
      <c r="A83" s="166"/>
      <c r="D83" s="151"/>
      <c r="E83"/>
      <c r="F83" s="61"/>
      <c r="G83" s="124"/>
      <c r="H83" s="124"/>
      <c r="I83" s="124"/>
      <c r="J83" s="126"/>
      <c r="L83" s="165"/>
      <c r="O83" s="151"/>
      <c r="U83" s="122"/>
      <c r="W83" s="165"/>
      <c r="Z83" s="151"/>
      <c r="AF83" s="122"/>
    </row>
    <row r="84" spans="1:32" x14ac:dyDescent="0.2">
      <c r="A84" s="166">
        <f>'Sample Metadata'!D42</f>
        <v>0</v>
      </c>
      <c r="D84" s="149"/>
      <c r="E84"/>
      <c r="F84" s="61"/>
      <c r="G84" s="124"/>
      <c r="H84" s="124"/>
      <c r="I84" s="124"/>
      <c r="J84" s="126"/>
      <c r="L84" s="174">
        <f>A84</f>
        <v>0</v>
      </c>
      <c r="O84" s="149"/>
      <c r="U84" s="122"/>
      <c r="W84" s="174">
        <f>L84</f>
        <v>0</v>
      </c>
      <c r="Z84" s="149"/>
      <c r="AF84" s="122"/>
    </row>
    <row r="85" spans="1:32" x14ac:dyDescent="0.2">
      <c r="A85" s="166"/>
      <c r="D85" s="151"/>
      <c r="E85"/>
      <c r="F85" s="61"/>
      <c r="G85" s="124"/>
      <c r="H85" s="124"/>
      <c r="I85" s="124"/>
      <c r="J85" s="126"/>
      <c r="L85" s="165"/>
      <c r="O85" s="151"/>
      <c r="U85" s="122"/>
      <c r="W85" s="165"/>
      <c r="Z85" s="151"/>
      <c r="AF85" s="122"/>
    </row>
    <row r="86" spans="1:32" x14ac:dyDescent="0.2">
      <c r="A86" s="166">
        <f>'Sample Metadata'!D43</f>
        <v>0</v>
      </c>
      <c r="D86" s="149"/>
      <c r="E86"/>
      <c r="F86" s="61"/>
      <c r="G86" s="124"/>
      <c r="H86" s="124"/>
      <c r="I86" s="124"/>
      <c r="J86" s="126"/>
      <c r="L86" s="174">
        <f>A86</f>
        <v>0</v>
      </c>
      <c r="O86" s="149"/>
      <c r="U86" s="122"/>
      <c r="W86" s="174">
        <f>L86</f>
        <v>0</v>
      </c>
      <c r="Z86" s="149"/>
      <c r="AF86" s="122"/>
    </row>
    <row r="87" spans="1:32" ht="17" thickBot="1" x14ac:dyDescent="0.25">
      <c r="A87" s="175"/>
      <c r="B87" s="60"/>
      <c r="C87" s="60"/>
      <c r="D87" s="150"/>
      <c r="E87" s="60"/>
      <c r="F87" s="64"/>
      <c r="G87" s="125"/>
      <c r="H87" s="125"/>
      <c r="I87" s="125"/>
      <c r="J87" s="127"/>
      <c r="L87" s="176"/>
      <c r="M87" s="60"/>
      <c r="N87" s="60"/>
      <c r="O87" s="150"/>
      <c r="P87" s="60"/>
      <c r="Q87" s="60"/>
      <c r="R87" s="60"/>
      <c r="S87" s="60"/>
      <c r="T87" s="60"/>
      <c r="U87" s="123"/>
      <c r="W87" s="176"/>
      <c r="X87" s="60"/>
      <c r="Y87" s="60"/>
      <c r="Z87" s="150"/>
      <c r="AA87" s="60"/>
      <c r="AB87" s="60"/>
      <c r="AC87" s="60"/>
      <c r="AD87" s="60"/>
      <c r="AE87" s="60"/>
      <c r="AF87" s="123"/>
    </row>
  </sheetData>
  <mergeCells count="255">
    <mergeCell ref="D78:D79"/>
    <mergeCell ref="D80:D81"/>
    <mergeCell ref="D82:D83"/>
    <mergeCell ref="D84:D85"/>
    <mergeCell ref="D86:D87"/>
    <mergeCell ref="D68:D69"/>
    <mergeCell ref="D70:D71"/>
    <mergeCell ref="D72:D73"/>
    <mergeCell ref="D74:D75"/>
    <mergeCell ref="D76:D77"/>
    <mergeCell ref="W78:W79"/>
    <mergeCell ref="W80:W81"/>
    <mergeCell ref="W82:W83"/>
    <mergeCell ref="W84:W85"/>
    <mergeCell ref="W86:W87"/>
    <mergeCell ref="W68:W69"/>
    <mergeCell ref="W70:W71"/>
    <mergeCell ref="W72:W73"/>
    <mergeCell ref="W74:W75"/>
    <mergeCell ref="W76:W77"/>
    <mergeCell ref="L78:L79"/>
    <mergeCell ref="L80:L81"/>
    <mergeCell ref="L82:L83"/>
    <mergeCell ref="L84:L85"/>
    <mergeCell ref="L86:L87"/>
    <mergeCell ref="L68:L69"/>
    <mergeCell ref="L70:L71"/>
    <mergeCell ref="L72:L73"/>
    <mergeCell ref="L74:L75"/>
    <mergeCell ref="L76:L77"/>
    <mergeCell ref="A78:A79"/>
    <mergeCell ref="A80:A81"/>
    <mergeCell ref="A82:A83"/>
    <mergeCell ref="A84:A85"/>
    <mergeCell ref="A86:A87"/>
    <mergeCell ref="A68:A69"/>
    <mergeCell ref="A70:A71"/>
    <mergeCell ref="A72:A73"/>
    <mergeCell ref="A74:A75"/>
    <mergeCell ref="A76:A77"/>
    <mergeCell ref="A66:A67"/>
    <mergeCell ref="L66:L67"/>
    <mergeCell ref="W66:W67"/>
    <mergeCell ref="A62:A63"/>
    <mergeCell ref="L62:L63"/>
    <mergeCell ref="W62:W63"/>
    <mergeCell ref="A64:A65"/>
    <mergeCell ref="L64:L65"/>
    <mergeCell ref="W64:W65"/>
    <mergeCell ref="D62:D63"/>
    <mergeCell ref="D64:D65"/>
    <mergeCell ref="D66:D67"/>
    <mergeCell ref="O62:O63"/>
    <mergeCell ref="O64:O65"/>
    <mergeCell ref="O66:O67"/>
    <mergeCell ref="A58:A59"/>
    <mergeCell ref="L58:L59"/>
    <mergeCell ref="W58:W59"/>
    <mergeCell ref="A60:A61"/>
    <mergeCell ref="L60:L61"/>
    <mergeCell ref="W60:W61"/>
    <mergeCell ref="D58:D59"/>
    <mergeCell ref="D60:D61"/>
    <mergeCell ref="A54:A55"/>
    <mergeCell ref="L54:L55"/>
    <mergeCell ref="W54:W55"/>
    <mergeCell ref="A56:A57"/>
    <mergeCell ref="L56:L57"/>
    <mergeCell ref="W56:W57"/>
    <mergeCell ref="D54:D55"/>
    <mergeCell ref="D56:D57"/>
    <mergeCell ref="O54:O55"/>
    <mergeCell ref="O56:O57"/>
    <mergeCell ref="O58:O59"/>
    <mergeCell ref="O60:O61"/>
    <mergeCell ref="A50:A51"/>
    <mergeCell ref="L50:L51"/>
    <mergeCell ref="W50:W51"/>
    <mergeCell ref="A52:A53"/>
    <mergeCell ref="L52:L53"/>
    <mergeCell ref="W52:W53"/>
    <mergeCell ref="D50:D51"/>
    <mergeCell ref="D52:D53"/>
    <mergeCell ref="A46:A47"/>
    <mergeCell ref="L46:L47"/>
    <mergeCell ref="W46:W47"/>
    <mergeCell ref="A48:A49"/>
    <mergeCell ref="L48:L49"/>
    <mergeCell ref="W48:W49"/>
    <mergeCell ref="D46:D47"/>
    <mergeCell ref="D48:D49"/>
    <mergeCell ref="O46:O47"/>
    <mergeCell ref="O48:O49"/>
    <mergeCell ref="O50:O51"/>
    <mergeCell ref="O52:O53"/>
    <mergeCell ref="A42:A43"/>
    <mergeCell ref="L42:L43"/>
    <mergeCell ref="W42:W43"/>
    <mergeCell ref="A44:A45"/>
    <mergeCell ref="L44:L45"/>
    <mergeCell ref="W44:W45"/>
    <mergeCell ref="D42:D43"/>
    <mergeCell ref="D44:D45"/>
    <mergeCell ref="A38:A39"/>
    <mergeCell ref="L38:L39"/>
    <mergeCell ref="W38:W39"/>
    <mergeCell ref="A40:A41"/>
    <mergeCell ref="L40:L41"/>
    <mergeCell ref="W40:W41"/>
    <mergeCell ref="D38:D39"/>
    <mergeCell ref="D40:D41"/>
    <mergeCell ref="O38:O39"/>
    <mergeCell ref="O40:O41"/>
    <mergeCell ref="O42:O43"/>
    <mergeCell ref="O44:O45"/>
    <mergeCell ref="A34:A35"/>
    <mergeCell ref="L34:L35"/>
    <mergeCell ref="W34:W35"/>
    <mergeCell ref="A36:A37"/>
    <mergeCell ref="L36:L37"/>
    <mergeCell ref="W36:W37"/>
    <mergeCell ref="D34:D35"/>
    <mergeCell ref="D36:D37"/>
    <mergeCell ref="A30:A31"/>
    <mergeCell ref="L30:L31"/>
    <mergeCell ref="W30:W31"/>
    <mergeCell ref="A32:A33"/>
    <mergeCell ref="L32:L33"/>
    <mergeCell ref="W32:W33"/>
    <mergeCell ref="D30:D31"/>
    <mergeCell ref="D32:D33"/>
    <mergeCell ref="O30:O31"/>
    <mergeCell ref="O32:O33"/>
    <mergeCell ref="O34:O35"/>
    <mergeCell ref="O36:O37"/>
    <mergeCell ref="A26:A27"/>
    <mergeCell ref="L26:L27"/>
    <mergeCell ref="W26:W27"/>
    <mergeCell ref="A28:A29"/>
    <mergeCell ref="L28:L29"/>
    <mergeCell ref="W28:W29"/>
    <mergeCell ref="D26:D27"/>
    <mergeCell ref="D28:D29"/>
    <mergeCell ref="A22:A23"/>
    <mergeCell ref="L22:L23"/>
    <mergeCell ref="W22:W23"/>
    <mergeCell ref="A24:A25"/>
    <mergeCell ref="L24:L25"/>
    <mergeCell ref="W24:W25"/>
    <mergeCell ref="D22:D23"/>
    <mergeCell ref="D24:D25"/>
    <mergeCell ref="O22:O23"/>
    <mergeCell ref="O24:O25"/>
    <mergeCell ref="O26:O27"/>
    <mergeCell ref="O28:O29"/>
    <mergeCell ref="A18:A19"/>
    <mergeCell ref="L18:L19"/>
    <mergeCell ref="W18:W19"/>
    <mergeCell ref="A20:A21"/>
    <mergeCell ref="L20:L21"/>
    <mergeCell ref="W20:W21"/>
    <mergeCell ref="D18:D19"/>
    <mergeCell ref="D20:D21"/>
    <mergeCell ref="A14:A15"/>
    <mergeCell ref="L14:L15"/>
    <mergeCell ref="W14:W15"/>
    <mergeCell ref="A16:A17"/>
    <mergeCell ref="L16:L17"/>
    <mergeCell ref="W16:W17"/>
    <mergeCell ref="D14:D15"/>
    <mergeCell ref="D16:D17"/>
    <mergeCell ref="O14:O15"/>
    <mergeCell ref="O16:O17"/>
    <mergeCell ref="O18:O19"/>
    <mergeCell ref="O20:O21"/>
    <mergeCell ref="A10:A11"/>
    <mergeCell ref="L10:L11"/>
    <mergeCell ref="W10:W11"/>
    <mergeCell ref="A12:A13"/>
    <mergeCell ref="L12:L13"/>
    <mergeCell ref="W12:W13"/>
    <mergeCell ref="D10:D11"/>
    <mergeCell ref="D12:D13"/>
    <mergeCell ref="A6:A7"/>
    <mergeCell ref="L6:L7"/>
    <mergeCell ref="W6:W7"/>
    <mergeCell ref="A8:A9"/>
    <mergeCell ref="L8:L9"/>
    <mergeCell ref="W8:W9"/>
    <mergeCell ref="D6:D7"/>
    <mergeCell ref="D8:D9"/>
    <mergeCell ref="O8:O9"/>
    <mergeCell ref="O10:O11"/>
    <mergeCell ref="O12:O13"/>
    <mergeCell ref="L1:U2"/>
    <mergeCell ref="W1:AF2"/>
    <mergeCell ref="A4:A5"/>
    <mergeCell ref="L4:L5"/>
    <mergeCell ref="W4:W5"/>
    <mergeCell ref="A1:J2"/>
    <mergeCell ref="D4:D5"/>
    <mergeCell ref="O4:O5"/>
    <mergeCell ref="O6:O7"/>
    <mergeCell ref="O68:O69"/>
    <mergeCell ref="O70:O71"/>
    <mergeCell ref="O72:O73"/>
    <mergeCell ref="O74:O75"/>
    <mergeCell ref="O76:O77"/>
    <mergeCell ref="O78:O79"/>
    <mergeCell ref="O80:O81"/>
    <mergeCell ref="O82:O83"/>
    <mergeCell ref="O84:O85"/>
    <mergeCell ref="O86:O87"/>
    <mergeCell ref="Z4:Z5"/>
    <mergeCell ref="Z6:Z7"/>
    <mergeCell ref="Z8:Z9"/>
    <mergeCell ref="Z10:Z11"/>
    <mergeCell ref="Z12:Z13"/>
    <mergeCell ref="Z14:Z15"/>
    <mergeCell ref="Z16:Z17"/>
    <mergeCell ref="Z18:Z19"/>
    <mergeCell ref="Z20:Z21"/>
    <mergeCell ref="Z22:Z23"/>
    <mergeCell ref="Z24:Z25"/>
    <mergeCell ref="Z26:Z27"/>
    <mergeCell ref="Z28:Z29"/>
    <mergeCell ref="Z30:Z31"/>
    <mergeCell ref="Z32:Z33"/>
    <mergeCell ref="Z34:Z35"/>
    <mergeCell ref="Z36:Z37"/>
    <mergeCell ref="Z38:Z39"/>
    <mergeCell ref="Z40:Z41"/>
    <mergeCell ref="Z42:Z43"/>
    <mergeCell ref="Z44:Z45"/>
    <mergeCell ref="Z46:Z47"/>
    <mergeCell ref="Z48:Z49"/>
    <mergeCell ref="Z50:Z51"/>
    <mergeCell ref="Z52:Z53"/>
    <mergeCell ref="Z54:Z55"/>
    <mergeCell ref="Z56:Z57"/>
    <mergeCell ref="Z58:Z59"/>
    <mergeCell ref="Z60:Z61"/>
    <mergeCell ref="Z62:Z63"/>
    <mergeCell ref="Z64:Z65"/>
    <mergeCell ref="Z66:Z67"/>
    <mergeCell ref="Z86:Z87"/>
    <mergeCell ref="Z68:Z69"/>
    <mergeCell ref="Z70:Z71"/>
    <mergeCell ref="Z72:Z73"/>
    <mergeCell ref="Z74:Z75"/>
    <mergeCell ref="Z76:Z77"/>
    <mergeCell ref="Z78:Z79"/>
    <mergeCell ref="Z80:Z81"/>
    <mergeCell ref="Z82:Z83"/>
    <mergeCell ref="Z84:Z85"/>
  </mergeCells>
  <conditionalFormatting sqref="G3:H3">
    <cfRule type="cellIs" dxfId="3" priority="168" operator="equal">
      <formula>40</formula>
    </cfRule>
  </conditionalFormatting>
  <conditionalFormatting sqref="K4">
    <cfRule type="notContainsBlanks" dxfId="2" priority="165">
      <formula>LEN(TRIM(K4))&gt;0</formula>
    </cfRule>
  </conditionalFormatting>
  <conditionalFormatting sqref="R3:S3">
    <cfRule type="cellIs" dxfId="1" priority="3" operator="equal">
      <formula>40</formula>
    </cfRule>
  </conditionalFormatting>
  <conditionalFormatting sqref="AC3:AD3">
    <cfRule type="cellIs" dxfId="0" priority="1" operator="equal">
      <formula>40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3380-66B3-9445-846B-EE36E584D7D7}">
  <dimension ref="A1:AO200"/>
  <sheetViews>
    <sheetView zoomScaleNormal="100" workbookViewId="0">
      <selection sqref="A1:J2"/>
    </sheetView>
  </sheetViews>
  <sheetFormatPr baseColWidth="10" defaultRowHeight="16" x14ac:dyDescent="0.2"/>
  <cols>
    <col min="1" max="1" width="15.1640625" bestFit="1" customWidth="1"/>
    <col min="2" max="2" width="12" bestFit="1" customWidth="1"/>
    <col min="3" max="3" width="25.33203125" bestFit="1" customWidth="1"/>
    <col min="4" max="4" width="13.1640625" bestFit="1" customWidth="1"/>
    <col min="5" max="5" width="32.1640625" style="30" bestFit="1" customWidth="1"/>
    <col min="6" max="6" width="11.83203125" bestFit="1" customWidth="1"/>
    <col min="7" max="7" width="10.33203125" bestFit="1" customWidth="1"/>
    <col min="8" max="8" width="15.5" bestFit="1" customWidth="1"/>
    <col min="9" max="9" width="17.6640625" bestFit="1" customWidth="1"/>
    <col min="10" max="10" width="45.83203125" bestFit="1" customWidth="1"/>
    <col min="11" max="12" width="27.6640625" bestFit="1" customWidth="1"/>
    <col min="13" max="13" width="27.6640625" style="78" customWidth="1"/>
    <col min="14" max="14" width="27.6640625" bestFit="1" customWidth="1"/>
    <col min="15" max="15" width="15.1640625" bestFit="1" customWidth="1"/>
    <col min="16" max="16" width="12" bestFit="1" customWidth="1"/>
    <col min="17" max="17" width="12.83203125" bestFit="1" customWidth="1"/>
    <col min="18" max="18" width="12.83203125" customWidth="1"/>
    <col min="19" max="19" width="32.1640625" bestFit="1" customWidth="1"/>
    <col min="20" max="20" width="8.33203125" bestFit="1" customWidth="1"/>
    <col min="21" max="21" width="10.33203125" bestFit="1" customWidth="1"/>
    <col min="22" max="22" width="15.5" bestFit="1" customWidth="1"/>
    <col min="23" max="23" width="17.6640625" bestFit="1" customWidth="1"/>
    <col min="24" max="24" width="45.83203125" bestFit="1" customWidth="1"/>
    <col min="25" max="26" width="27.6640625" bestFit="1" customWidth="1"/>
    <col min="27" max="27" width="27.6640625" style="78" customWidth="1"/>
    <col min="28" max="28" width="27.6640625" bestFit="1" customWidth="1"/>
    <col min="29" max="29" width="9.6640625" bestFit="1" customWidth="1"/>
    <col min="30" max="30" width="12" bestFit="1" customWidth="1"/>
    <col min="31" max="31" width="12.83203125" bestFit="1" customWidth="1"/>
    <col min="32" max="32" width="12.83203125" customWidth="1"/>
    <col min="33" max="33" width="32.1640625" bestFit="1" customWidth="1"/>
    <col min="34" max="34" width="8.33203125" bestFit="1" customWidth="1"/>
    <col min="35" max="35" width="10.33203125" bestFit="1" customWidth="1"/>
    <col min="36" max="36" width="15.5" bestFit="1" customWidth="1"/>
    <col min="37" max="37" width="17.6640625" bestFit="1" customWidth="1"/>
    <col min="38" max="38" width="45.83203125" bestFit="1" customWidth="1"/>
    <col min="39" max="40" width="27.6640625" bestFit="1" customWidth="1"/>
    <col min="41" max="41" width="27.6640625" style="78" customWidth="1"/>
  </cols>
  <sheetData>
    <row r="1" spans="1:41" ht="16" customHeight="1" x14ac:dyDescent="0.2">
      <c r="A1" s="168" t="s">
        <v>49</v>
      </c>
      <c r="B1" s="169"/>
      <c r="C1" s="169"/>
      <c r="D1" s="169"/>
      <c r="E1" s="169"/>
      <c r="F1" s="169"/>
      <c r="G1" s="169"/>
      <c r="H1" s="169"/>
      <c r="I1" s="169"/>
      <c r="J1" s="170"/>
      <c r="O1" s="153" t="s">
        <v>50</v>
      </c>
      <c r="P1" s="154"/>
      <c r="Q1" s="154"/>
      <c r="R1" s="154"/>
      <c r="S1" s="154"/>
      <c r="T1" s="154"/>
      <c r="U1" s="154"/>
      <c r="V1" s="154"/>
      <c r="W1" s="154"/>
      <c r="X1" s="155"/>
      <c r="AC1" s="159" t="s">
        <v>51</v>
      </c>
      <c r="AD1" s="160"/>
      <c r="AE1" s="160"/>
      <c r="AF1" s="160"/>
      <c r="AG1" s="160"/>
      <c r="AH1" s="160"/>
      <c r="AI1" s="160"/>
      <c r="AJ1" s="160"/>
      <c r="AK1" s="160"/>
      <c r="AL1" s="161"/>
    </row>
    <row r="2" spans="1:41" ht="17" customHeight="1" thickBot="1" x14ac:dyDescent="0.25">
      <c r="A2" s="178"/>
      <c r="B2" s="179"/>
      <c r="C2" s="179"/>
      <c r="D2" s="179"/>
      <c r="E2" s="179"/>
      <c r="F2" s="179"/>
      <c r="G2" s="179"/>
      <c r="H2" s="179"/>
      <c r="I2" s="179"/>
      <c r="J2" s="180"/>
      <c r="O2" s="156"/>
      <c r="P2" s="181"/>
      <c r="Q2" s="181"/>
      <c r="R2" s="181"/>
      <c r="S2" s="181"/>
      <c r="T2" s="181"/>
      <c r="U2" s="181"/>
      <c r="V2" s="181"/>
      <c r="W2" s="181"/>
      <c r="X2" s="182"/>
      <c r="AC2" s="162"/>
      <c r="AD2" s="183"/>
      <c r="AE2" s="183"/>
      <c r="AF2" s="183"/>
      <c r="AG2" s="183"/>
      <c r="AH2" s="183"/>
      <c r="AI2" s="183"/>
      <c r="AJ2" s="183"/>
      <c r="AK2" s="183"/>
      <c r="AL2" s="184"/>
    </row>
    <row r="3" spans="1:41" ht="35" customHeight="1" x14ac:dyDescent="0.2">
      <c r="A3" s="65" t="s">
        <v>35</v>
      </c>
      <c r="B3" s="120" t="s">
        <v>57</v>
      </c>
      <c r="C3" s="120" t="s">
        <v>36</v>
      </c>
      <c r="D3" s="120" t="s">
        <v>69</v>
      </c>
      <c r="E3" s="120" t="s">
        <v>58</v>
      </c>
      <c r="F3" s="120" t="s">
        <v>59</v>
      </c>
      <c r="G3" s="120" t="s">
        <v>4</v>
      </c>
      <c r="H3" s="120" t="s">
        <v>5</v>
      </c>
      <c r="I3" s="120" t="s">
        <v>6</v>
      </c>
      <c r="J3" s="121" t="s">
        <v>56</v>
      </c>
      <c r="K3" s="138" t="s">
        <v>89</v>
      </c>
      <c r="L3" s="137" t="s">
        <v>90</v>
      </c>
      <c r="M3" s="137" t="s">
        <v>95</v>
      </c>
      <c r="O3" s="65" t="s">
        <v>35</v>
      </c>
      <c r="P3" s="140" t="s">
        <v>57</v>
      </c>
      <c r="Q3" s="140" t="s">
        <v>36</v>
      </c>
      <c r="R3" s="140" t="s">
        <v>60</v>
      </c>
      <c r="S3" s="140" t="s">
        <v>58</v>
      </c>
      <c r="T3" s="140" t="s">
        <v>59</v>
      </c>
      <c r="U3" s="140" t="s">
        <v>4</v>
      </c>
      <c r="V3" s="140" t="s">
        <v>5</v>
      </c>
      <c r="W3" s="140" t="s">
        <v>6</v>
      </c>
      <c r="X3" s="141" t="s">
        <v>56</v>
      </c>
      <c r="Y3" s="138" t="s">
        <v>89</v>
      </c>
      <c r="Z3" s="137" t="s">
        <v>90</v>
      </c>
      <c r="AA3" s="137" t="s">
        <v>95</v>
      </c>
      <c r="AC3" s="67" t="s">
        <v>35</v>
      </c>
      <c r="AD3" s="66" t="s">
        <v>57</v>
      </c>
      <c r="AE3" s="66" t="s">
        <v>36</v>
      </c>
      <c r="AF3" s="66" t="s">
        <v>60</v>
      </c>
      <c r="AG3" s="66" t="s">
        <v>58</v>
      </c>
      <c r="AH3" s="66" t="s">
        <v>59</v>
      </c>
      <c r="AI3" s="66" t="s">
        <v>4</v>
      </c>
      <c r="AJ3" s="66" t="s">
        <v>5</v>
      </c>
      <c r="AK3" s="66" t="s">
        <v>6</v>
      </c>
      <c r="AL3" s="68" t="s">
        <v>56</v>
      </c>
      <c r="AM3" s="138" t="s">
        <v>89</v>
      </c>
      <c r="AN3" s="137" t="s">
        <v>90</v>
      </c>
      <c r="AO3" s="137" t="s">
        <v>95</v>
      </c>
    </row>
    <row r="4" spans="1:41" ht="17" customHeight="1" x14ac:dyDescent="0.2">
      <c r="A4" s="165">
        <f>'Sample Metadata'!D2</f>
        <v>0</v>
      </c>
      <c r="B4" t="str">
        <f>IF('qPCR Run Entry'!B4="","",'qPCR Run Entry'!B4)</f>
        <v/>
      </c>
      <c r="C4" t="str">
        <f>IF('qPCR Run Entry'!C4="","",'qPCR Run Entry'!C4)</f>
        <v/>
      </c>
      <c r="D4" s="152" t="str">
        <f>IF('qPCR Run Entry'!D4="","",'qPCR Run Entry'!D4)</f>
        <v/>
      </c>
      <c r="E4" t="s">
        <v>68</v>
      </c>
      <c r="F4" t="s">
        <v>67</v>
      </c>
      <c r="G4" s="24"/>
      <c r="H4" s="24"/>
      <c r="I4" s="24"/>
      <c r="J4" s="62" t="str">
        <f>IF('qPCR Run Entry'!J4="","",'qPCR Run Entry'!J4)</f>
        <v/>
      </c>
      <c r="K4" s="136"/>
      <c r="L4" s="135">
        <f>G4-K4</f>
        <v>0</v>
      </c>
      <c r="M4" s="110" t="str">
        <f>IF(ISNUMBER(K4),IF(ABS(L4)&gt;1.5, "FAIL", "Pass"),"")</f>
        <v/>
      </c>
      <c r="N4" s="59"/>
      <c r="O4" s="167">
        <f>A4</f>
        <v>0</v>
      </c>
      <c r="P4" t="str">
        <f>IF('qPCR Run Entry'!M4="","",'qPCR Run Entry'!M4)</f>
        <v/>
      </c>
      <c r="Q4" t="str">
        <f>IF('qPCR Run Entry'!N4="","",'qPCR Run Entry'!N4)</f>
        <v/>
      </c>
      <c r="R4" s="73" t="str">
        <f>IF('qPCR Run Entry'!O4="","",'qPCR Run Entry'!O4)</f>
        <v/>
      </c>
      <c r="S4" t="s">
        <v>68</v>
      </c>
      <c r="T4" t="s">
        <v>67</v>
      </c>
      <c r="U4" s="24"/>
      <c r="V4" s="24"/>
      <c r="W4" s="24"/>
      <c r="X4" s="62" t="str">
        <f>IF('qPCR Run Entry'!U4="","",'qPCR Run Entry'!U4)</f>
        <v/>
      </c>
      <c r="Y4" s="136"/>
      <c r="Z4" s="135">
        <f>U4-Y4</f>
        <v>0</v>
      </c>
      <c r="AA4" s="110" t="str">
        <f>IF(ISNUMBER(Y4),IF(ABS(Z4)&gt;1.5, "FAIL", "Pass"),"")</f>
        <v/>
      </c>
      <c r="AC4" s="165">
        <f>O4</f>
        <v>0</v>
      </c>
      <c r="AD4" t="str">
        <f>IF('qPCR Run Entry'!X4="","",'qPCR Run Entry'!X4)</f>
        <v/>
      </c>
      <c r="AE4" t="str">
        <f>IF('qPCR Run Entry'!Y4="","",'qPCR Run Entry'!Y4)</f>
        <v/>
      </c>
      <c r="AF4" s="73" t="str">
        <f>IF('qPCR Run Entry'!Z4="","",'qPCR Run Entry'!Z4)</f>
        <v/>
      </c>
      <c r="AG4" t="s">
        <v>68</v>
      </c>
      <c r="AH4" t="s">
        <v>67</v>
      </c>
      <c r="AI4" s="24"/>
      <c r="AJ4" s="24"/>
      <c r="AK4" s="24"/>
      <c r="AL4" s="62" t="str">
        <f>IF('qPCR Run Entry'!AF4="","",'qPCR Run Entry'!AF4)</f>
        <v/>
      </c>
      <c r="AM4" s="136"/>
      <c r="AN4" s="135">
        <f>AI4-AM4</f>
        <v>0</v>
      </c>
      <c r="AO4" s="110" t="str">
        <f>IF(ISNUMBER(AM4),IF(ABS(AN4)&gt;1.5, "FAIL", "Pass"),"")</f>
        <v/>
      </c>
    </row>
    <row r="5" spans="1:41" ht="17" customHeight="1" x14ac:dyDescent="0.2">
      <c r="A5" s="166"/>
      <c r="B5" t="str">
        <f>IF('qPCR Run Entry'!B5="","",'qPCR Run Entry'!B5)</f>
        <v/>
      </c>
      <c r="C5" t="str">
        <f>IF('qPCR Run Entry'!C5="","",'qPCR Run Entry'!C5)</f>
        <v/>
      </c>
      <c r="D5" s="151"/>
      <c r="E5" t="s">
        <v>68</v>
      </c>
      <c r="F5" t="s">
        <v>67</v>
      </c>
      <c r="G5" s="24"/>
      <c r="H5" s="24"/>
      <c r="I5" s="24"/>
      <c r="J5" s="62" t="str">
        <f>IF('qPCR Run Entry'!J5="","",'qPCR Run Entry'!J5)</f>
        <v/>
      </c>
      <c r="K5" s="136"/>
      <c r="L5" s="135">
        <f t="shared" ref="L5:L68" si="0">G5-K5</f>
        <v>0</v>
      </c>
      <c r="M5" s="110" t="str">
        <f t="shared" ref="M5:M68" si="1">IF(ISNUMBER(K5),IF(ABS(L5)&gt;1.5, "FAIL", "Pass"),"")</f>
        <v/>
      </c>
      <c r="O5" s="165"/>
      <c r="P5" t="str">
        <f>IF('qPCR Run Entry'!M5="","",'qPCR Run Entry'!M5)</f>
        <v/>
      </c>
      <c r="Q5" t="str">
        <f>IF('qPCR Run Entry'!N5="","",'qPCR Run Entry'!N5)</f>
        <v/>
      </c>
      <c r="R5" s="73" t="str">
        <f>IF('qPCR Run Entry'!O5="","",'qPCR Run Entry'!O5)</f>
        <v/>
      </c>
      <c r="S5" t="s">
        <v>68</v>
      </c>
      <c r="T5" t="s">
        <v>67</v>
      </c>
      <c r="U5" s="24"/>
      <c r="V5" s="24"/>
      <c r="W5" s="24"/>
      <c r="X5" s="62" t="str">
        <f>IF('qPCR Run Entry'!U5="","",'qPCR Run Entry'!U5)</f>
        <v/>
      </c>
      <c r="Y5" s="136"/>
      <c r="Z5" s="135">
        <f t="shared" ref="Z5:Z68" si="2">U5-Y5</f>
        <v>0</v>
      </c>
      <c r="AA5" s="110" t="str">
        <f t="shared" ref="AA5:AA68" si="3">IF(ISNUMBER(Y5),IF(ABS(Z5)&gt;1.5, "FAIL", "Pass"),"")</f>
        <v/>
      </c>
      <c r="AC5" s="166"/>
      <c r="AD5" t="str">
        <f>IF('qPCR Run Entry'!X5="","",'qPCR Run Entry'!X5)</f>
        <v/>
      </c>
      <c r="AE5" t="str">
        <f>IF('qPCR Run Entry'!Y5="","",'qPCR Run Entry'!Y5)</f>
        <v/>
      </c>
      <c r="AF5" s="73" t="str">
        <f>IF('qPCR Run Entry'!Z5="","",'qPCR Run Entry'!Z5)</f>
        <v/>
      </c>
      <c r="AG5" t="s">
        <v>68</v>
      </c>
      <c r="AH5" t="s">
        <v>67</v>
      </c>
      <c r="AI5" s="24"/>
      <c r="AK5" s="24"/>
      <c r="AL5" s="62" t="str">
        <f>IF('qPCR Run Entry'!AF5="","",'qPCR Run Entry'!AF5)</f>
        <v/>
      </c>
      <c r="AM5" s="136"/>
      <c r="AN5" s="135">
        <f t="shared" ref="AN5:AN68" si="4">AI5-AM5</f>
        <v>0</v>
      </c>
      <c r="AO5" s="110" t="str">
        <f t="shared" ref="AO5:AO68" si="5">IF(ISNUMBER(AM5),IF(ABS(AN5)&gt;1.5, "FAIL", "Pass"),"")</f>
        <v/>
      </c>
    </row>
    <row r="6" spans="1:41" ht="17" customHeight="1" x14ac:dyDescent="0.2">
      <c r="A6" s="166">
        <f>'Sample Metadata'!D3</f>
        <v>0</v>
      </c>
      <c r="B6" t="str">
        <f>IF('qPCR Run Entry'!B6="","",'qPCR Run Entry'!B6)</f>
        <v/>
      </c>
      <c r="C6" t="str">
        <f>IF('qPCR Run Entry'!C6="","",'qPCR Run Entry'!C6)</f>
        <v/>
      </c>
      <c r="D6" s="149" t="str">
        <f>IF('qPCR Run Entry'!D6="","",'qPCR Run Entry'!D6)</f>
        <v/>
      </c>
      <c r="E6" t="s">
        <v>68</v>
      </c>
      <c r="F6" t="s">
        <v>67</v>
      </c>
      <c r="G6" s="24"/>
      <c r="H6" s="24"/>
      <c r="I6" s="24"/>
      <c r="J6" s="62" t="str">
        <f>IF('qPCR Run Entry'!J6="","",'qPCR Run Entry'!J6)</f>
        <v/>
      </c>
      <c r="K6" s="24"/>
      <c r="L6" s="135">
        <f t="shared" si="0"/>
        <v>0</v>
      </c>
      <c r="M6" s="110" t="str">
        <f t="shared" si="1"/>
        <v/>
      </c>
      <c r="O6" s="174">
        <f>A6</f>
        <v>0</v>
      </c>
      <c r="P6" t="str">
        <f>IF('qPCR Run Entry'!M6="","",'qPCR Run Entry'!M6)</f>
        <v/>
      </c>
      <c r="Q6" t="str">
        <f>IF('qPCR Run Entry'!N6="","",'qPCR Run Entry'!N6)</f>
        <v/>
      </c>
      <c r="R6" s="73" t="str">
        <f>IF('qPCR Run Entry'!O6="","",'qPCR Run Entry'!O6)</f>
        <v/>
      </c>
      <c r="S6" t="s">
        <v>68</v>
      </c>
      <c r="T6" t="s">
        <v>67</v>
      </c>
      <c r="U6" s="24"/>
      <c r="V6" s="24"/>
      <c r="W6" s="24"/>
      <c r="X6" s="62" t="str">
        <f>IF('qPCR Run Entry'!U6="","",'qPCR Run Entry'!U6)</f>
        <v/>
      </c>
      <c r="Y6" s="24"/>
      <c r="Z6" s="135">
        <f t="shared" si="2"/>
        <v>0</v>
      </c>
      <c r="AA6" s="110" t="str">
        <f t="shared" si="3"/>
        <v/>
      </c>
      <c r="AC6" s="166">
        <f>O6</f>
        <v>0</v>
      </c>
      <c r="AD6" t="str">
        <f>IF('qPCR Run Entry'!X6="","",'qPCR Run Entry'!X6)</f>
        <v/>
      </c>
      <c r="AE6" t="str">
        <f>IF('qPCR Run Entry'!Y6="","",'qPCR Run Entry'!Y6)</f>
        <v/>
      </c>
      <c r="AF6" s="73" t="str">
        <f>IF('qPCR Run Entry'!Z6="","",'qPCR Run Entry'!Z6)</f>
        <v/>
      </c>
      <c r="AG6" t="s">
        <v>68</v>
      </c>
      <c r="AH6" t="s">
        <v>67</v>
      </c>
      <c r="AI6" s="24"/>
      <c r="AJ6" s="24"/>
      <c r="AK6" s="24"/>
      <c r="AL6" s="62" t="str">
        <f>IF('qPCR Run Entry'!AF6="","",'qPCR Run Entry'!AF6)</f>
        <v/>
      </c>
      <c r="AM6" s="24"/>
      <c r="AN6" s="135">
        <f t="shared" si="4"/>
        <v>0</v>
      </c>
      <c r="AO6" s="110" t="str">
        <f t="shared" si="5"/>
        <v/>
      </c>
    </row>
    <row r="7" spans="1:41" ht="17" customHeight="1" x14ac:dyDescent="0.2">
      <c r="A7" s="166"/>
      <c r="B7" t="str">
        <f>IF('qPCR Run Entry'!B7="","",'qPCR Run Entry'!B7)</f>
        <v/>
      </c>
      <c r="C7" t="str">
        <f>IF('qPCR Run Entry'!C7="","",'qPCR Run Entry'!C7)</f>
        <v/>
      </c>
      <c r="D7" s="151"/>
      <c r="E7" t="s">
        <v>68</v>
      </c>
      <c r="F7" t="s">
        <v>67</v>
      </c>
      <c r="G7" s="24"/>
      <c r="H7" s="24"/>
      <c r="I7" s="24"/>
      <c r="J7" s="62" t="str">
        <f>IF('qPCR Run Entry'!J7="","",'qPCR Run Entry'!J7)</f>
        <v/>
      </c>
      <c r="K7" s="24"/>
      <c r="L7" s="135">
        <f t="shared" si="0"/>
        <v>0</v>
      </c>
      <c r="M7" s="110" t="str">
        <f t="shared" si="1"/>
        <v/>
      </c>
      <c r="O7" s="165"/>
      <c r="P7" t="str">
        <f>IF('qPCR Run Entry'!M7="","",'qPCR Run Entry'!M7)</f>
        <v/>
      </c>
      <c r="Q7" t="str">
        <f>IF('qPCR Run Entry'!N7="","",'qPCR Run Entry'!N7)</f>
        <v/>
      </c>
      <c r="R7" s="73" t="str">
        <f>IF('qPCR Run Entry'!O7="","",'qPCR Run Entry'!O7)</f>
        <v/>
      </c>
      <c r="S7" t="s">
        <v>68</v>
      </c>
      <c r="T7" t="s">
        <v>67</v>
      </c>
      <c r="U7" s="24"/>
      <c r="V7" s="24"/>
      <c r="W7" s="24"/>
      <c r="X7" s="62" t="str">
        <f>IF('qPCR Run Entry'!U7="","",'qPCR Run Entry'!U7)</f>
        <v/>
      </c>
      <c r="Y7" s="24"/>
      <c r="Z7" s="135">
        <f t="shared" si="2"/>
        <v>0</v>
      </c>
      <c r="AA7" s="110" t="str">
        <f t="shared" si="3"/>
        <v/>
      </c>
      <c r="AC7" s="166"/>
      <c r="AD7" t="str">
        <f>IF('qPCR Run Entry'!X7="","",'qPCR Run Entry'!X7)</f>
        <v/>
      </c>
      <c r="AE7" t="str">
        <f>IF('qPCR Run Entry'!Y7="","",'qPCR Run Entry'!Y7)</f>
        <v/>
      </c>
      <c r="AF7" s="73" t="str">
        <f>IF('qPCR Run Entry'!Z7="","",'qPCR Run Entry'!Z7)</f>
        <v/>
      </c>
      <c r="AG7" t="s">
        <v>68</v>
      </c>
      <c r="AH7" t="s">
        <v>67</v>
      </c>
      <c r="AI7" s="24"/>
      <c r="AJ7" s="24"/>
      <c r="AK7" s="24"/>
      <c r="AL7" s="62" t="str">
        <f>IF('qPCR Run Entry'!AF7="","",'qPCR Run Entry'!AF7)</f>
        <v/>
      </c>
      <c r="AM7" s="24"/>
      <c r="AN7" s="135">
        <f t="shared" si="4"/>
        <v>0</v>
      </c>
      <c r="AO7" s="110" t="str">
        <f t="shared" si="5"/>
        <v/>
      </c>
    </row>
    <row r="8" spans="1:41" ht="17" customHeight="1" x14ac:dyDescent="0.2">
      <c r="A8" s="166">
        <f>'Sample Metadata'!D4</f>
        <v>0</v>
      </c>
      <c r="B8" t="str">
        <f>IF('qPCR Run Entry'!B8="","",'qPCR Run Entry'!B8)</f>
        <v/>
      </c>
      <c r="C8" t="str">
        <f>IF('qPCR Run Entry'!C8="","",'qPCR Run Entry'!C8)</f>
        <v/>
      </c>
      <c r="D8" s="149" t="str">
        <f>IF('qPCR Run Entry'!D8="","",'qPCR Run Entry'!D8)</f>
        <v/>
      </c>
      <c r="E8" t="s">
        <v>68</v>
      </c>
      <c r="F8" t="s">
        <v>67</v>
      </c>
      <c r="G8" s="24"/>
      <c r="H8" s="24"/>
      <c r="I8" s="24"/>
      <c r="J8" s="62" t="str">
        <f>IF('qPCR Run Entry'!J8="","",'qPCR Run Entry'!J8)</f>
        <v/>
      </c>
      <c r="K8" s="24"/>
      <c r="L8" s="135">
        <f t="shared" si="0"/>
        <v>0</v>
      </c>
      <c r="M8" s="110" t="str">
        <f t="shared" si="1"/>
        <v/>
      </c>
      <c r="O8" s="174">
        <f>A8</f>
        <v>0</v>
      </c>
      <c r="P8" t="str">
        <f>IF('qPCR Run Entry'!M8="","",'qPCR Run Entry'!M8)</f>
        <v/>
      </c>
      <c r="Q8" t="str">
        <f>IF('qPCR Run Entry'!N8="","",'qPCR Run Entry'!N8)</f>
        <v/>
      </c>
      <c r="R8" s="73" t="str">
        <f>IF('qPCR Run Entry'!O8="","",'qPCR Run Entry'!O8)</f>
        <v/>
      </c>
      <c r="S8" t="s">
        <v>68</v>
      </c>
      <c r="T8" t="s">
        <v>67</v>
      </c>
      <c r="U8" s="24"/>
      <c r="V8" s="24"/>
      <c r="W8" s="24"/>
      <c r="X8" s="62" t="str">
        <f>IF('qPCR Run Entry'!U8="","",'qPCR Run Entry'!U8)</f>
        <v/>
      </c>
      <c r="Y8" s="24"/>
      <c r="Z8" s="135">
        <f t="shared" si="2"/>
        <v>0</v>
      </c>
      <c r="AA8" s="110" t="str">
        <f t="shared" si="3"/>
        <v/>
      </c>
      <c r="AC8" s="166">
        <f>O8</f>
        <v>0</v>
      </c>
      <c r="AD8" t="str">
        <f>IF('qPCR Run Entry'!X8="","",'qPCR Run Entry'!X8)</f>
        <v/>
      </c>
      <c r="AE8" t="str">
        <f>IF('qPCR Run Entry'!Y8="","",'qPCR Run Entry'!Y8)</f>
        <v/>
      </c>
      <c r="AF8" s="73" t="str">
        <f>IF('qPCR Run Entry'!Z8="","",'qPCR Run Entry'!Z8)</f>
        <v/>
      </c>
      <c r="AG8" t="s">
        <v>68</v>
      </c>
      <c r="AH8" t="s">
        <v>67</v>
      </c>
      <c r="AI8" s="24"/>
      <c r="AJ8" s="24"/>
      <c r="AK8" s="24"/>
      <c r="AL8" s="62" t="str">
        <f>IF('qPCR Run Entry'!AF8="","",'qPCR Run Entry'!AF8)</f>
        <v/>
      </c>
      <c r="AM8" s="24"/>
      <c r="AN8" s="135">
        <f t="shared" si="4"/>
        <v>0</v>
      </c>
      <c r="AO8" s="110" t="str">
        <f t="shared" si="5"/>
        <v/>
      </c>
    </row>
    <row r="9" spans="1:41" ht="17" customHeight="1" x14ac:dyDescent="0.2">
      <c r="A9" s="166"/>
      <c r="B9" t="str">
        <f>IF('qPCR Run Entry'!B9="","",'qPCR Run Entry'!B9)</f>
        <v/>
      </c>
      <c r="C9" t="str">
        <f>IF('qPCR Run Entry'!C9="","",'qPCR Run Entry'!C9)</f>
        <v/>
      </c>
      <c r="D9" s="151"/>
      <c r="E9" t="s">
        <v>68</v>
      </c>
      <c r="F9" t="s">
        <v>67</v>
      </c>
      <c r="G9" s="24"/>
      <c r="H9" s="24"/>
      <c r="I9" s="24"/>
      <c r="J9" s="62" t="str">
        <f>IF('qPCR Run Entry'!J9="","",'qPCR Run Entry'!J9)</f>
        <v/>
      </c>
      <c r="K9" s="24"/>
      <c r="L9" s="135">
        <f t="shared" si="0"/>
        <v>0</v>
      </c>
      <c r="M9" s="110" t="str">
        <f t="shared" si="1"/>
        <v/>
      </c>
      <c r="O9" s="165"/>
      <c r="P9" t="str">
        <f>IF('qPCR Run Entry'!M9="","",'qPCR Run Entry'!M9)</f>
        <v/>
      </c>
      <c r="Q9" t="str">
        <f>IF('qPCR Run Entry'!N9="","",'qPCR Run Entry'!N9)</f>
        <v/>
      </c>
      <c r="R9" s="73" t="str">
        <f>IF('qPCR Run Entry'!O9="","",'qPCR Run Entry'!O9)</f>
        <v/>
      </c>
      <c r="S9" t="s">
        <v>68</v>
      </c>
      <c r="T9" t="s">
        <v>67</v>
      </c>
      <c r="U9" s="24"/>
      <c r="V9" s="24"/>
      <c r="W9" s="24"/>
      <c r="X9" s="62" t="str">
        <f>IF('qPCR Run Entry'!U9="","",'qPCR Run Entry'!U9)</f>
        <v/>
      </c>
      <c r="Y9" s="24"/>
      <c r="Z9" s="135">
        <f t="shared" si="2"/>
        <v>0</v>
      </c>
      <c r="AA9" s="110" t="str">
        <f t="shared" si="3"/>
        <v/>
      </c>
      <c r="AC9" s="166"/>
      <c r="AD9" t="str">
        <f>IF('qPCR Run Entry'!X9="","",'qPCR Run Entry'!X9)</f>
        <v/>
      </c>
      <c r="AE9" t="str">
        <f>IF('qPCR Run Entry'!Y9="","",'qPCR Run Entry'!Y9)</f>
        <v/>
      </c>
      <c r="AF9" s="73" t="str">
        <f>IF('qPCR Run Entry'!Z9="","",'qPCR Run Entry'!Z9)</f>
        <v/>
      </c>
      <c r="AG9" t="s">
        <v>68</v>
      </c>
      <c r="AH9" t="s">
        <v>67</v>
      </c>
      <c r="AI9" s="24"/>
      <c r="AJ9" s="24"/>
      <c r="AK9" s="24"/>
      <c r="AL9" s="62" t="str">
        <f>IF('qPCR Run Entry'!AF9="","",'qPCR Run Entry'!AF9)</f>
        <v/>
      </c>
      <c r="AM9" s="24"/>
      <c r="AN9" s="135">
        <f t="shared" si="4"/>
        <v>0</v>
      </c>
      <c r="AO9" s="110" t="str">
        <f t="shared" si="5"/>
        <v/>
      </c>
    </row>
    <row r="10" spans="1:41" ht="17" customHeight="1" x14ac:dyDescent="0.2">
      <c r="A10" s="166">
        <f>'Sample Metadata'!D5</f>
        <v>0</v>
      </c>
      <c r="B10" t="str">
        <f>IF('qPCR Run Entry'!B10="","",'qPCR Run Entry'!B10)</f>
        <v/>
      </c>
      <c r="C10" t="str">
        <f>IF('qPCR Run Entry'!C10="","",'qPCR Run Entry'!C10)</f>
        <v/>
      </c>
      <c r="D10" s="149" t="str">
        <f>IF('qPCR Run Entry'!D10="","",'qPCR Run Entry'!D10)</f>
        <v/>
      </c>
      <c r="E10" t="s">
        <v>68</v>
      </c>
      <c r="F10" t="s">
        <v>67</v>
      </c>
      <c r="G10" s="24"/>
      <c r="H10" s="24"/>
      <c r="I10" s="24"/>
      <c r="J10" s="62" t="str">
        <f>IF('qPCR Run Entry'!J10="","",'qPCR Run Entry'!J10)</f>
        <v/>
      </c>
      <c r="K10" s="24"/>
      <c r="L10" s="135">
        <f t="shared" si="0"/>
        <v>0</v>
      </c>
      <c r="M10" s="110" t="str">
        <f t="shared" si="1"/>
        <v/>
      </c>
      <c r="O10" s="174">
        <f>A10</f>
        <v>0</v>
      </c>
      <c r="P10" t="str">
        <f>IF('qPCR Run Entry'!M10="","",'qPCR Run Entry'!M10)</f>
        <v/>
      </c>
      <c r="Q10" t="str">
        <f>IF('qPCR Run Entry'!N10="","",'qPCR Run Entry'!N10)</f>
        <v/>
      </c>
      <c r="R10" s="73" t="str">
        <f>IF('qPCR Run Entry'!O10="","",'qPCR Run Entry'!O10)</f>
        <v/>
      </c>
      <c r="S10" t="s">
        <v>68</v>
      </c>
      <c r="T10" t="s">
        <v>67</v>
      </c>
      <c r="U10" s="24"/>
      <c r="V10" s="24"/>
      <c r="W10" s="24"/>
      <c r="X10" s="62" t="str">
        <f>IF('qPCR Run Entry'!U10="","",'qPCR Run Entry'!U10)</f>
        <v/>
      </c>
      <c r="Y10" s="24"/>
      <c r="Z10" s="135">
        <f t="shared" si="2"/>
        <v>0</v>
      </c>
      <c r="AA10" s="110" t="str">
        <f t="shared" si="3"/>
        <v/>
      </c>
      <c r="AC10" s="166">
        <f>O10</f>
        <v>0</v>
      </c>
      <c r="AD10" t="str">
        <f>IF('qPCR Run Entry'!X10="","",'qPCR Run Entry'!X10)</f>
        <v/>
      </c>
      <c r="AE10" t="str">
        <f>IF('qPCR Run Entry'!Y10="","",'qPCR Run Entry'!Y10)</f>
        <v/>
      </c>
      <c r="AF10" s="73" t="str">
        <f>IF('qPCR Run Entry'!Z10="","",'qPCR Run Entry'!Z10)</f>
        <v/>
      </c>
      <c r="AG10" t="s">
        <v>68</v>
      </c>
      <c r="AH10" t="s">
        <v>67</v>
      </c>
      <c r="AI10" s="24"/>
      <c r="AJ10" s="24"/>
      <c r="AK10" s="24"/>
      <c r="AL10" s="62" t="str">
        <f>IF('qPCR Run Entry'!AF10="","",'qPCR Run Entry'!AF10)</f>
        <v/>
      </c>
      <c r="AM10" s="24"/>
      <c r="AN10" s="135">
        <f t="shared" si="4"/>
        <v>0</v>
      </c>
      <c r="AO10" s="110" t="str">
        <f t="shared" si="5"/>
        <v/>
      </c>
    </row>
    <row r="11" spans="1:41" ht="17" customHeight="1" x14ac:dyDescent="0.2">
      <c r="A11" s="166"/>
      <c r="B11" t="str">
        <f>IF('qPCR Run Entry'!B11="","",'qPCR Run Entry'!B11)</f>
        <v/>
      </c>
      <c r="C11" t="str">
        <f>IF('qPCR Run Entry'!C11="","",'qPCR Run Entry'!C11)</f>
        <v/>
      </c>
      <c r="D11" s="151"/>
      <c r="E11" t="s">
        <v>68</v>
      </c>
      <c r="F11" t="s">
        <v>67</v>
      </c>
      <c r="G11" s="24"/>
      <c r="H11" s="24"/>
      <c r="I11" s="24"/>
      <c r="J11" s="62" t="str">
        <f>IF('qPCR Run Entry'!J11="","",'qPCR Run Entry'!J11)</f>
        <v/>
      </c>
      <c r="K11" s="24"/>
      <c r="L11" s="135">
        <f t="shared" si="0"/>
        <v>0</v>
      </c>
      <c r="M11" s="110" t="str">
        <f t="shared" si="1"/>
        <v/>
      </c>
      <c r="O11" s="165"/>
      <c r="P11" t="str">
        <f>IF('qPCR Run Entry'!M11="","",'qPCR Run Entry'!M11)</f>
        <v/>
      </c>
      <c r="Q11" t="str">
        <f>IF('qPCR Run Entry'!N11="","",'qPCR Run Entry'!N11)</f>
        <v/>
      </c>
      <c r="R11" s="73" t="str">
        <f>IF('qPCR Run Entry'!O11="","",'qPCR Run Entry'!O11)</f>
        <v/>
      </c>
      <c r="S11" t="s">
        <v>68</v>
      </c>
      <c r="T11" t="s">
        <v>67</v>
      </c>
      <c r="U11" s="24"/>
      <c r="V11" s="24"/>
      <c r="W11" s="24"/>
      <c r="X11" s="62" t="str">
        <f>IF('qPCR Run Entry'!U11="","",'qPCR Run Entry'!U11)</f>
        <v/>
      </c>
      <c r="Y11" s="24"/>
      <c r="Z11" s="135">
        <f t="shared" si="2"/>
        <v>0</v>
      </c>
      <c r="AA11" s="110" t="str">
        <f t="shared" si="3"/>
        <v/>
      </c>
      <c r="AC11" s="166"/>
      <c r="AD11" t="str">
        <f>IF('qPCR Run Entry'!X11="","",'qPCR Run Entry'!X11)</f>
        <v/>
      </c>
      <c r="AE11" t="str">
        <f>IF('qPCR Run Entry'!Y11="","",'qPCR Run Entry'!Y11)</f>
        <v/>
      </c>
      <c r="AF11" s="73" t="str">
        <f>IF('qPCR Run Entry'!Z11="","",'qPCR Run Entry'!Z11)</f>
        <v/>
      </c>
      <c r="AG11" t="s">
        <v>68</v>
      </c>
      <c r="AH11" t="s">
        <v>67</v>
      </c>
      <c r="AI11" s="24"/>
      <c r="AJ11" s="24"/>
      <c r="AK11" s="24"/>
      <c r="AL11" s="62" t="str">
        <f>IF('qPCR Run Entry'!AF11="","",'qPCR Run Entry'!AF11)</f>
        <v/>
      </c>
      <c r="AM11" s="24"/>
      <c r="AN11" s="135">
        <f t="shared" si="4"/>
        <v>0</v>
      </c>
      <c r="AO11" s="110" t="str">
        <f t="shared" si="5"/>
        <v/>
      </c>
    </row>
    <row r="12" spans="1:41" ht="17" customHeight="1" x14ac:dyDescent="0.2">
      <c r="A12" s="166">
        <f>'Sample Metadata'!D6</f>
        <v>0</v>
      </c>
      <c r="B12" t="str">
        <f>IF('qPCR Run Entry'!B12="","",'qPCR Run Entry'!B12)</f>
        <v/>
      </c>
      <c r="C12" t="str">
        <f>IF('qPCR Run Entry'!C12="","",'qPCR Run Entry'!C12)</f>
        <v/>
      </c>
      <c r="D12" s="149" t="str">
        <f>IF('qPCR Run Entry'!D12="","",'qPCR Run Entry'!D12)</f>
        <v/>
      </c>
      <c r="E12" t="s">
        <v>68</v>
      </c>
      <c r="F12" t="s">
        <v>67</v>
      </c>
      <c r="G12" s="24"/>
      <c r="H12" s="24"/>
      <c r="I12" s="24"/>
      <c r="J12" s="62" t="str">
        <f>IF('qPCR Run Entry'!J12="","",'qPCR Run Entry'!J12)</f>
        <v/>
      </c>
      <c r="K12" s="24"/>
      <c r="L12" s="135">
        <f t="shared" si="0"/>
        <v>0</v>
      </c>
      <c r="M12" s="110" t="str">
        <f t="shared" si="1"/>
        <v/>
      </c>
      <c r="O12" s="166">
        <f>A12</f>
        <v>0</v>
      </c>
      <c r="P12" t="str">
        <f>IF('qPCR Run Entry'!M12="","",'qPCR Run Entry'!M12)</f>
        <v/>
      </c>
      <c r="Q12" t="str">
        <f>IF('qPCR Run Entry'!N12="","",'qPCR Run Entry'!N12)</f>
        <v/>
      </c>
      <c r="R12" s="73" t="str">
        <f>IF('qPCR Run Entry'!O12="","",'qPCR Run Entry'!O12)</f>
        <v/>
      </c>
      <c r="S12" t="s">
        <v>68</v>
      </c>
      <c r="T12" t="s">
        <v>67</v>
      </c>
      <c r="U12" s="24"/>
      <c r="V12" s="24"/>
      <c r="W12" s="24"/>
      <c r="X12" s="62" t="str">
        <f>IF('qPCR Run Entry'!U12="","",'qPCR Run Entry'!U12)</f>
        <v/>
      </c>
      <c r="Y12" s="24"/>
      <c r="Z12" s="135">
        <f t="shared" si="2"/>
        <v>0</v>
      </c>
      <c r="AA12" s="110" t="str">
        <f t="shared" si="3"/>
        <v/>
      </c>
      <c r="AC12" s="166">
        <f>O12</f>
        <v>0</v>
      </c>
      <c r="AD12" t="str">
        <f>IF('qPCR Run Entry'!X12="","",'qPCR Run Entry'!X12)</f>
        <v/>
      </c>
      <c r="AE12" t="str">
        <f>IF('qPCR Run Entry'!Y12="","",'qPCR Run Entry'!Y12)</f>
        <v/>
      </c>
      <c r="AF12" s="73" t="str">
        <f>IF('qPCR Run Entry'!Z12="","",'qPCR Run Entry'!Z12)</f>
        <v/>
      </c>
      <c r="AG12" t="s">
        <v>68</v>
      </c>
      <c r="AH12" t="s">
        <v>67</v>
      </c>
      <c r="AI12" s="24"/>
      <c r="AJ12" s="24"/>
      <c r="AK12" s="24"/>
      <c r="AL12" s="62" t="str">
        <f>IF('qPCR Run Entry'!AF12="","",'qPCR Run Entry'!AF12)</f>
        <v/>
      </c>
      <c r="AM12" s="24"/>
      <c r="AN12" s="135">
        <f t="shared" si="4"/>
        <v>0</v>
      </c>
      <c r="AO12" s="110" t="str">
        <f t="shared" si="5"/>
        <v/>
      </c>
    </row>
    <row r="13" spans="1:41" ht="17" customHeight="1" x14ac:dyDescent="0.2">
      <c r="A13" s="166"/>
      <c r="B13" t="str">
        <f>IF('qPCR Run Entry'!B13="","",'qPCR Run Entry'!B13)</f>
        <v/>
      </c>
      <c r="C13" t="str">
        <f>IF('qPCR Run Entry'!C13="","",'qPCR Run Entry'!C13)</f>
        <v/>
      </c>
      <c r="D13" s="151"/>
      <c r="E13" t="s">
        <v>68</v>
      </c>
      <c r="F13" t="s">
        <v>67</v>
      </c>
      <c r="G13" s="24"/>
      <c r="H13" s="24"/>
      <c r="I13" s="24"/>
      <c r="J13" s="62" t="str">
        <f>IF('qPCR Run Entry'!J13="","",'qPCR Run Entry'!J13)</f>
        <v/>
      </c>
      <c r="K13" s="24"/>
      <c r="L13" s="135">
        <f t="shared" si="0"/>
        <v>0</v>
      </c>
      <c r="M13" s="110" t="str">
        <f t="shared" si="1"/>
        <v/>
      </c>
      <c r="O13" s="166"/>
      <c r="P13" t="str">
        <f>IF('qPCR Run Entry'!M13="","",'qPCR Run Entry'!M13)</f>
        <v/>
      </c>
      <c r="Q13" t="str">
        <f>IF('qPCR Run Entry'!N13="","",'qPCR Run Entry'!N13)</f>
        <v/>
      </c>
      <c r="R13" s="73" t="str">
        <f>IF('qPCR Run Entry'!O13="","",'qPCR Run Entry'!O13)</f>
        <v/>
      </c>
      <c r="S13" t="s">
        <v>68</v>
      </c>
      <c r="T13" t="s">
        <v>67</v>
      </c>
      <c r="U13" s="24"/>
      <c r="V13" s="24"/>
      <c r="W13" s="24"/>
      <c r="X13" s="62" t="str">
        <f>IF('qPCR Run Entry'!U13="","",'qPCR Run Entry'!U13)</f>
        <v/>
      </c>
      <c r="Y13" s="24"/>
      <c r="Z13" s="135">
        <f t="shared" si="2"/>
        <v>0</v>
      </c>
      <c r="AA13" s="110" t="str">
        <f t="shared" si="3"/>
        <v/>
      </c>
      <c r="AC13" s="166"/>
      <c r="AD13" t="str">
        <f>IF('qPCR Run Entry'!X13="","",'qPCR Run Entry'!X13)</f>
        <v/>
      </c>
      <c r="AE13" t="str">
        <f>IF('qPCR Run Entry'!Y13="","",'qPCR Run Entry'!Y13)</f>
        <v/>
      </c>
      <c r="AF13" s="73" t="str">
        <f>IF('qPCR Run Entry'!Z13="","",'qPCR Run Entry'!Z13)</f>
        <v/>
      </c>
      <c r="AG13" t="s">
        <v>68</v>
      </c>
      <c r="AH13" t="s">
        <v>67</v>
      </c>
      <c r="AI13" s="24"/>
      <c r="AJ13" s="24"/>
      <c r="AK13" s="24"/>
      <c r="AL13" s="62" t="str">
        <f>IF('qPCR Run Entry'!AF13="","",'qPCR Run Entry'!AF13)</f>
        <v/>
      </c>
      <c r="AM13" s="24"/>
      <c r="AN13" s="135">
        <f t="shared" si="4"/>
        <v>0</v>
      </c>
      <c r="AO13" s="110" t="str">
        <f t="shared" si="5"/>
        <v/>
      </c>
    </row>
    <row r="14" spans="1:41" ht="17" customHeight="1" x14ac:dyDescent="0.2">
      <c r="A14" s="166">
        <f>'Sample Metadata'!D7</f>
        <v>0</v>
      </c>
      <c r="B14" t="str">
        <f>IF('qPCR Run Entry'!B14="","",'qPCR Run Entry'!B14)</f>
        <v/>
      </c>
      <c r="C14" t="str">
        <f>IF('qPCR Run Entry'!C14="","",'qPCR Run Entry'!C14)</f>
        <v/>
      </c>
      <c r="D14" s="149" t="str">
        <f>IF('qPCR Run Entry'!D14="","",'qPCR Run Entry'!D14)</f>
        <v/>
      </c>
      <c r="E14" t="s">
        <v>68</v>
      </c>
      <c r="F14" t="s">
        <v>67</v>
      </c>
      <c r="G14" s="24"/>
      <c r="H14" s="24"/>
      <c r="I14" s="24"/>
      <c r="J14" s="62" t="str">
        <f>IF('qPCR Run Entry'!J14="","",'qPCR Run Entry'!J14)</f>
        <v/>
      </c>
      <c r="K14" s="24"/>
      <c r="L14" s="135">
        <f t="shared" si="0"/>
        <v>0</v>
      </c>
      <c r="M14" s="110" t="str">
        <f t="shared" si="1"/>
        <v/>
      </c>
      <c r="O14" s="166">
        <f>A14</f>
        <v>0</v>
      </c>
      <c r="P14" t="str">
        <f>IF('qPCR Run Entry'!M14="","",'qPCR Run Entry'!M14)</f>
        <v/>
      </c>
      <c r="Q14" t="str">
        <f>IF('qPCR Run Entry'!N14="","",'qPCR Run Entry'!N14)</f>
        <v/>
      </c>
      <c r="R14" s="73" t="str">
        <f>IF('qPCR Run Entry'!O14="","",'qPCR Run Entry'!O14)</f>
        <v/>
      </c>
      <c r="S14" t="s">
        <v>68</v>
      </c>
      <c r="T14" t="s">
        <v>67</v>
      </c>
      <c r="U14" s="24"/>
      <c r="V14" s="24"/>
      <c r="W14" s="24"/>
      <c r="X14" s="62" t="str">
        <f>IF('qPCR Run Entry'!U14="","",'qPCR Run Entry'!U14)</f>
        <v/>
      </c>
      <c r="Y14" s="24"/>
      <c r="Z14" s="135">
        <f t="shared" si="2"/>
        <v>0</v>
      </c>
      <c r="AA14" s="110" t="str">
        <f t="shared" si="3"/>
        <v/>
      </c>
      <c r="AC14" s="166">
        <f>O14</f>
        <v>0</v>
      </c>
      <c r="AD14" t="str">
        <f>IF('qPCR Run Entry'!X14="","",'qPCR Run Entry'!X14)</f>
        <v/>
      </c>
      <c r="AE14" t="str">
        <f>IF('qPCR Run Entry'!Y14="","",'qPCR Run Entry'!Y14)</f>
        <v/>
      </c>
      <c r="AF14" s="73" t="str">
        <f>IF('qPCR Run Entry'!Z14="","",'qPCR Run Entry'!Z14)</f>
        <v/>
      </c>
      <c r="AG14" t="s">
        <v>68</v>
      </c>
      <c r="AH14" t="s">
        <v>67</v>
      </c>
      <c r="AI14" s="24"/>
      <c r="AJ14" s="24"/>
      <c r="AK14" s="24"/>
      <c r="AL14" s="62" t="str">
        <f>IF('qPCR Run Entry'!AF14="","",'qPCR Run Entry'!AF14)</f>
        <v/>
      </c>
      <c r="AM14" s="24"/>
      <c r="AN14" s="135">
        <f t="shared" si="4"/>
        <v>0</v>
      </c>
      <c r="AO14" s="110" t="str">
        <f t="shared" si="5"/>
        <v/>
      </c>
    </row>
    <row r="15" spans="1:41" ht="17" customHeight="1" x14ac:dyDescent="0.2">
      <c r="A15" s="166"/>
      <c r="B15" t="str">
        <f>IF('qPCR Run Entry'!B15="","",'qPCR Run Entry'!B15)</f>
        <v/>
      </c>
      <c r="C15" t="str">
        <f>IF('qPCR Run Entry'!C15="","",'qPCR Run Entry'!C15)</f>
        <v/>
      </c>
      <c r="D15" s="151"/>
      <c r="E15" t="s">
        <v>68</v>
      </c>
      <c r="F15" t="s">
        <v>67</v>
      </c>
      <c r="G15" s="24"/>
      <c r="H15" s="24"/>
      <c r="I15" s="24"/>
      <c r="J15" s="62" t="str">
        <f>IF('qPCR Run Entry'!J15="","",'qPCR Run Entry'!J15)</f>
        <v/>
      </c>
      <c r="K15" s="24"/>
      <c r="L15" s="135">
        <f t="shared" si="0"/>
        <v>0</v>
      </c>
      <c r="M15" s="110" t="str">
        <f t="shared" si="1"/>
        <v/>
      </c>
      <c r="O15" s="166"/>
      <c r="P15" t="str">
        <f>IF('qPCR Run Entry'!M15="","",'qPCR Run Entry'!M15)</f>
        <v/>
      </c>
      <c r="Q15" t="str">
        <f>IF('qPCR Run Entry'!N15="","",'qPCR Run Entry'!N15)</f>
        <v/>
      </c>
      <c r="R15" s="73" t="str">
        <f>IF('qPCR Run Entry'!O15="","",'qPCR Run Entry'!O15)</f>
        <v/>
      </c>
      <c r="S15" t="s">
        <v>68</v>
      </c>
      <c r="T15" t="s">
        <v>67</v>
      </c>
      <c r="U15" s="24"/>
      <c r="V15" s="24"/>
      <c r="W15" s="24"/>
      <c r="X15" s="62" t="str">
        <f>IF('qPCR Run Entry'!U15="","",'qPCR Run Entry'!U15)</f>
        <v/>
      </c>
      <c r="Y15" s="24"/>
      <c r="Z15" s="135">
        <f t="shared" si="2"/>
        <v>0</v>
      </c>
      <c r="AA15" s="110" t="str">
        <f t="shared" si="3"/>
        <v/>
      </c>
      <c r="AC15" s="166"/>
      <c r="AD15" t="str">
        <f>IF('qPCR Run Entry'!X15="","",'qPCR Run Entry'!X15)</f>
        <v/>
      </c>
      <c r="AE15" t="str">
        <f>IF('qPCR Run Entry'!Y15="","",'qPCR Run Entry'!Y15)</f>
        <v/>
      </c>
      <c r="AF15" s="73" t="str">
        <f>IF('qPCR Run Entry'!Z15="","",'qPCR Run Entry'!Z15)</f>
        <v/>
      </c>
      <c r="AG15" t="s">
        <v>68</v>
      </c>
      <c r="AH15" t="s">
        <v>67</v>
      </c>
      <c r="AI15" s="24"/>
      <c r="AJ15" s="24"/>
      <c r="AK15" s="24"/>
      <c r="AL15" s="62" t="str">
        <f>IF('qPCR Run Entry'!AF15="","",'qPCR Run Entry'!AF15)</f>
        <v/>
      </c>
      <c r="AM15" s="24"/>
      <c r="AN15" s="135">
        <f t="shared" si="4"/>
        <v>0</v>
      </c>
      <c r="AO15" s="110" t="str">
        <f t="shared" si="5"/>
        <v/>
      </c>
    </row>
    <row r="16" spans="1:41" ht="17" customHeight="1" x14ac:dyDescent="0.2">
      <c r="A16" s="166">
        <f>'Sample Metadata'!D8</f>
        <v>0</v>
      </c>
      <c r="B16" t="str">
        <f>IF('qPCR Run Entry'!B16="","",'qPCR Run Entry'!B16)</f>
        <v/>
      </c>
      <c r="C16" t="str">
        <f>IF('qPCR Run Entry'!C16="","",'qPCR Run Entry'!C16)</f>
        <v/>
      </c>
      <c r="D16" s="149" t="str">
        <f>IF('qPCR Run Entry'!D16="","",'qPCR Run Entry'!D16)</f>
        <v/>
      </c>
      <c r="E16" t="s">
        <v>68</v>
      </c>
      <c r="F16" t="s">
        <v>67</v>
      </c>
      <c r="G16" s="24"/>
      <c r="H16" s="24"/>
      <c r="I16" s="24"/>
      <c r="J16" s="62" t="str">
        <f>IF('qPCR Run Entry'!J16="","",'qPCR Run Entry'!J16)</f>
        <v/>
      </c>
      <c r="K16" s="24"/>
      <c r="L16" s="135">
        <f t="shared" si="0"/>
        <v>0</v>
      </c>
      <c r="M16" s="110" t="str">
        <f t="shared" si="1"/>
        <v/>
      </c>
      <c r="O16" s="166">
        <f>A16</f>
        <v>0</v>
      </c>
      <c r="P16" t="str">
        <f>IF('qPCR Run Entry'!M16="","",'qPCR Run Entry'!M16)</f>
        <v/>
      </c>
      <c r="Q16" t="str">
        <f>IF('qPCR Run Entry'!N16="","",'qPCR Run Entry'!N16)</f>
        <v/>
      </c>
      <c r="R16" s="73" t="str">
        <f>IF('qPCR Run Entry'!O16="","",'qPCR Run Entry'!O16)</f>
        <v/>
      </c>
      <c r="S16" t="s">
        <v>68</v>
      </c>
      <c r="T16" t="s">
        <v>67</v>
      </c>
      <c r="U16" s="24"/>
      <c r="V16" s="24"/>
      <c r="W16" s="24"/>
      <c r="X16" s="62" t="str">
        <f>IF('qPCR Run Entry'!U16="","",'qPCR Run Entry'!U16)</f>
        <v/>
      </c>
      <c r="Y16" s="24"/>
      <c r="Z16" s="135">
        <f t="shared" si="2"/>
        <v>0</v>
      </c>
      <c r="AA16" s="110" t="str">
        <f t="shared" si="3"/>
        <v/>
      </c>
      <c r="AC16" s="166">
        <f>O16</f>
        <v>0</v>
      </c>
      <c r="AD16" t="str">
        <f>IF('qPCR Run Entry'!X16="","",'qPCR Run Entry'!X16)</f>
        <v/>
      </c>
      <c r="AE16" t="str">
        <f>IF('qPCR Run Entry'!Y16="","",'qPCR Run Entry'!Y16)</f>
        <v/>
      </c>
      <c r="AF16" s="73" t="str">
        <f>IF('qPCR Run Entry'!Z16="","",'qPCR Run Entry'!Z16)</f>
        <v/>
      </c>
      <c r="AG16" t="s">
        <v>68</v>
      </c>
      <c r="AH16" t="s">
        <v>67</v>
      </c>
      <c r="AI16" s="24"/>
      <c r="AJ16" s="24"/>
      <c r="AK16" s="24"/>
      <c r="AL16" s="62" t="str">
        <f>IF('qPCR Run Entry'!AF16="","",'qPCR Run Entry'!AF16)</f>
        <v/>
      </c>
      <c r="AM16" s="24"/>
      <c r="AN16" s="135">
        <f t="shared" si="4"/>
        <v>0</v>
      </c>
      <c r="AO16" s="110" t="str">
        <f t="shared" si="5"/>
        <v/>
      </c>
    </row>
    <row r="17" spans="1:41" ht="17" customHeight="1" x14ac:dyDescent="0.2">
      <c r="A17" s="166"/>
      <c r="B17" t="str">
        <f>IF('qPCR Run Entry'!B17="","",'qPCR Run Entry'!B17)</f>
        <v/>
      </c>
      <c r="C17" t="str">
        <f>IF('qPCR Run Entry'!C17="","",'qPCR Run Entry'!C17)</f>
        <v/>
      </c>
      <c r="D17" s="151"/>
      <c r="E17" t="s">
        <v>68</v>
      </c>
      <c r="F17" t="s">
        <v>67</v>
      </c>
      <c r="G17" s="24"/>
      <c r="H17" s="24"/>
      <c r="I17" s="24"/>
      <c r="J17" s="62" t="str">
        <f>IF('qPCR Run Entry'!J17="","",'qPCR Run Entry'!J17)</f>
        <v/>
      </c>
      <c r="K17" s="24"/>
      <c r="L17" s="135">
        <f t="shared" si="0"/>
        <v>0</v>
      </c>
      <c r="M17" s="110" t="str">
        <f t="shared" si="1"/>
        <v/>
      </c>
      <c r="O17" s="166"/>
      <c r="P17" t="str">
        <f>IF('qPCR Run Entry'!M17="","",'qPCR Run Entry'!M17)</f>
        <v/>
      </c>
      <c r="Q17" t="str">
        <f>IF('qPCR Run Entry'!N17="","",'qPCR Run Entry'!N17)</f>
        <v/>
      </c>
      <c r="R17" s="73" t="str">
        <f>IF('qPCR Run Entry'!O17="","",'qPCR Run Entry'!O17)</f>
        <v/>
      </c>
      <c r="S17" t="s">
        <v>68</v>
      </c>
      <c r="T17" t="s">
        <v>67</v>
      </c>
      <c r="U17" s="24"/>
      <c r="V17" s="24"/>
      <c r="W17" s="24"/>
      <c r="X17" s="62" t="str">
        <f>IF('qPCR Run Entry'!U17="","",'qPCR Run Entry'!U17)</f>
        <v/>
      </c>
      <c r="Y17" s="24"/>
      <c r="Z17" s="135">
        <f t="shared" si="2"/>
        <v>0</v>
      </c>
      <c r="AA17" s="110" t="str">
        <f t="shared" si="3"/>
        <v/>
      </c>
      <c r="AC17" s="166"/>
      <c r="AD17" t="str">
        <f>IF('qPCR Run Entry'!X17="","",'qPCR Run Entry'!X17)</f>
        <v/>
      </c>
      <c r="AE17" t="str">
        <f>IF('qPCR Run Entry'!Y17="","",'qPCR Run Entry'!Y17)</f>
        <v/>
      </c>
      <c r="AF17" s="73" t="str">
        <f>IF('qPCR Run Entry'!Z17="","",'qPCR Run Entry'!Z17)</f>
        <v/>
      </c>
      <c r="AG17" t="s">
        <v>68</v>
      </c>
      <c r="AH17" t="s">
        <v>67</v>
      </c>
      <c r="AI17" s="24"/>
      <c r="AJ17" s="24"/>
      <c r="AK17" s="24"/>
      <c r="AL17" s="62" t="str">
        <f>IF('qPCR Run Entry'!AF17="","",'qPCR Run Entry'!AF17)</f>
        <v/>
      </c>
      <c r="AM17" s="24"/>
      <c r="AN17" s="135">
        <f t="shared" si="4"/>
        <v>0</v>
      </c>
      <c r="AO17" s="110" t="str">
        <f t="shared" si="5"/>
        <v/>
      </c>
    </row>
    <row r="18" spans="1:41" ht="17" customHeight="1" x14ac:dyDescent="0.2">
      <c r="A18" s="166">
        <f>'Sample Metadata'!D9</f>
        <v>0</v>
      </c>
      <c r="B18" t="str">
        <f>IF('qPCR Run Entry'!B18="","",'qPCR Run Entry'!B18)</f>
        <v/>
      </c>
      <c r="C18" t="str">
        <f>IF('qPCR Run Entry'!C18="","",'qPCR Run Entry'!C18)</f>
        <v/>
      </c>
      <c r="D18" s="149" t="str">
        <f>IF('qPCR Run Entry'!D18="","",'qPCR Run Entry'!D18)</f>
        <v/>
      </c>
      <c r="E18" t="s">
        <v>68</v>
      </c>
      <c r="F18" t="s">
        <v>67</v>
      </c>
      <c r="G18" s="24"/>
      <c r="H18" s="24"/>
      <c r="I18" s="24"/>
      <c r="J18" s="62" t="str">
        <f>IF('qPCR Run Entry'!J18="","",'qPCR Run Entry'!J18)</f>
        <v/>
      </c>
      <c r="K18" s="24"/>
      <c r="L18" s="135">
        <f t="shared" si="0"/>
        <v>0</v>
      </c>
      <c r="M18" s="110" t="str">
        <f t="shared" si="1"/>
        <v/>
      </c>
      <c r="O18" s="166">
        <f>A18</f>
        <v>0</v>
      </c>
      <c r="P18" t="str">
        <f>IF('qPCR Run Entry'!M18="","",'qPCR Run Entry'!M18)</f>
        <v/>
      </c>
      <c r="Q18" t="str">
        <f>IF('qPCR Run Entry'!N18="","",'qPCR Run Entry'!N18)</f>
        <v/>
      </c>
      <c r="R18" s="73" t="str">
        <f>IF('qPCR Run Entry'!O18="","",'qPCR Run Entry'!O18)</f>
        <v/>
      </c>
      <c r="S18" t="s">
        <v>68</v>
      </c>
      <c r="T18" t="s">
        <v>67</v>
      </c>
      <c r="U18" s="24"/>
      <c r="V18" s="24"/>
      <c r="W18" s="24"/>
      <c r="X18" s="62" t="str">
        <f>IF('qPCR Run Entry'!U18="","",'qPCR Run Entry'!U18)</f>
        <v/>
      </c>
      <c r="Y18" s="24"/>
      <c r="Z18" s="135">
        <f t="shared" si="2"/>
        <v>0</v>
      </c>
      <c r="AA18" s="110" t="str">
        <f t="shared" si="3"/>
        <v/>
      </c>
      <c r="AC18" s="166">
        <f>O18</f>
        <v>0</v>
      </c>
      <c r="AD18" t="str">
        <f>IF('qPCR Run Entry'!X18="","",'qPCR Run Entry'!X18)</f>
        <v/>
      </c>
      <c r="AE18" t="str">
        <f>IF('qPCR Run Entry'!Y18="","",'qPCR Run Entry'!Y18)</f>
        <v/>
      </c>
      <c r="AF18" s="73" t="str">
        <f>IF('qPCR Run Entry'!Z18="","",'qPCR Run Entry'!Z18)</f>
        <v/>
      </c>
      <c r="AG18" t="s">
        <v>68</v>
      </c>
      <c r="AH18" t="s">
        <v>67</v>
      </c>
      <c r="AI18" s="24"/>
      <c r="AJ18" s="24"/>
      <c r="AK18" s="24"/>
      <c r="AL18" s="62" t="str">
        <f>IF('qPCR Run Entry'!AF18="","",'qPCR Run Entry'!AF18)</f>
        <v/>
      </c>
      <c r="AM18" s="24"/>
      <c r="AN18" s="135">
        <f t="shared" si="4"/>
        <v>0</v>
      </c>
      <c r="AO18" s="110" t="str">
        <f t="shared" si="5"/>
        <v/>
      </c>
    </row>
    <row r="19" spans="1:41" ht="17" customHeight="1" x14ac:dyDescent="0.2">
      <c r="A19" s="166"/>
      <c r="B19" t="str">
        <f>IF('qPCR Run Entry'!B19="","",'qPCR Run Entry'!B19)</f>
        <v/>
      </c>
      <c r="C19" t="str">
        <f>IF('qPCR Run Entry'!C19="","",'qPCR Run Entry'!C19)</f>
        <v/>
      </c>
      <c r="D19" s="151"/>
      <c r="E19" t="s">
        <v>68</v>
      </c>
      <c r="F19" t="s">
        <v>67</v>
      </c>
      <c r="G19" s="24"/>
      <c r="H19" s="24"/>
      <c r="I19" s="24"/>
      <c r="J19" s="62" t="str">
        <f>IF('qPCR Run Entry'!J19="","",'qPCR Run Entry'!J19)</f>
        <v/>
      </c>
      <c r="K19" s="24"/>
      <c r="L19" s="135">
        <f t="shared" si="0"/>
        <v>0</v>
      </c>
      <c r="M19" s="110" t="str">
        <f t="shared" si="1"/>
        <v/>
      </c>
      <c r="O19" s="166"/>
      <c r="P19" t="str">
        <f>IF('qPCR Run Entry'!M19="","",'qPCR Run Entry'!M19)</f>
        <v/>
      </c>
      <c r="Q19" t="str">
        <f>IF('qPCR Run Entry'!N19="","",'qPCR Run Entry'!N19)</f>
        <v/>
      </c>
      <c r="R19" s="73" t="str">
        <f>IF('qPCR Run Entry'!O19="","",'qPCR Run Entry'!O19)</f>
        <v/>
      </c>
      <c r="S19" t="s">
        <v>68</v>
      </c>
      <c r="T19" t="s">
        <v>67</v>
      </c>
      <c r="U19" s="24"/>
      <c r="V19" s="24"/>
      <c r="W19" s="24"/>
      <c r="X19" s="62" t="str">
        <f>IF('qPCR Run Entry'!U19="","",'qPCR Run Entry'!U19)</f>
        <v/>
      </c>
      <c r="Y19" s="24"/>
      <c r="Z19" s="135">
        <f t="shared" si="2"/>
        <v>0</v>
      </c>
      <c r="AA19" s="110" t="str">
        <f t="shared" si="3"/>
        <v/>
      </c>
      <c r="AC19" s="166"/>
      <c r="AD19" t="str">
        <f>IF('qPCR Run Entry'!X19="","",'qPCR Run Entry'!X19)</f>
        <v/>
      </c>
      <c r="AE19" t="str">
        <f>IF('qPCR Run Entry'!Y19="","",'qPCR Run Entry'!Y19)</f>
        <v/>
      </c>
      <c r="AF19" s="73" t="str">
        <f>IF('qPCR Run Entry'!Z19="","",'qPCR Run Entry'!Z19)</f>
        <v/>
      </c>
      <c r="AG19" t="s">
        <v>68</v>
      </c>
      <c r="AH19" t="s">
        <v>67</v>
      </c>
      <c r="AI19" s="24"/>
      <c r="AJ19" s="24"/>
      <c r="AK19" s="24"/>
      <c r="AL19" s="62" t="str">
        <f>IF('qPCR Run Entry'!AF19="","",'qPCR Run Entry'!AF19)</f>
        <v/>
      </c>
      <c r="AM19" s="24"/>
      <c r="AN19" s="135">
        <f t="shared" si="4"/>
        <v>0</v>
      </c>
      <c r="AO19" s="110" t="str">
        <f t="shared" si="5"/>
        <v/>
      </c>
    </row>
    <row r="20" spans="1:41" ht="17" customHeight="1" x14ac:dyDescent="0.2">
      <c r="A20" s="166">
        <f>'Sample Metadata'!D10</f>
        <v>0</v>
      </c>
      <c r="B20" t="str">
        <f>IF('qPCR Run Entry'!B20="","",'qPCR Run Entry'!B20)</f>
        <v/>
      </c>
      <c r="C20" t="str">
        <f>IF('qPCR Run Entry'!C20="","",'qPCR Run Entry'!C20)</f>
        <v/>
      </c>
      <c r="D20" s="149" t="str">
        <f>IF('qPCR Run Entry'!D20="","",'qPCR Run Entry'!D20)</f>
        <v/>
      </c>
      <c r="E20" t="s">
        <v>68</v>
      </c>
      <c r="F20" t="s">
        <v>67</v>
      </c>
      <c r="G20" s="24"/>
      <c r="H20" s="24"/>
      <c r="I20" s="24"/>
      <c r="J20" s="62" t="str">
        <f>IF('qPCR Run Entry'!J20="","",'qPCR Run Entry'!J20)</f>
        <v/>
      </c>
      <c r="K20" s="24"/>
      <c r="L20" s="135">
        <f t="shared" si="0"/>
        <v>0</v>
      </c>
      <c r="M20" s="110" t="str">
        <f t="shared" si="1"/>
        <v/>
      </c>
      <c r="O20" s="166">
        <f>A20</f>
        <v>0</v>
      </c>
      <c r="P20" t="str">
        <f>IF('qPCR Run Entry'!M20="","",'qPCR Run Entry'!M20)</f>
        <v/>
      </c>
      <c r="Q20" t="str">
        <f>IF('qPCR Run Entry'!N20="","",'qPCR Run Entry'!N20)</f>
        <v/>
      </c>
      <c r="R20" s="73" t="str">
        <f>IF('qPCR Run Entry'!O20="","",'qPCR Run Entry'!O20)</f>
        <v/>
      </c>
      <c r="S20" t="s">
        <v>68</v>
      </c>
      <c r="T20" t="s">
        <v>67</v>
      </c>
      <c r="U20" s="24"/>
      <c r="V20" s="24"/>
      <c r="W20" s="24"/>
      <c r="X20" s="62" t="str">
        <f>IF('qPCR Run Entry'!U20="","",'qPCR Run Entry'!U20)</f>
        <v/>
      </c>
      <c r="Y20" s="24"/>
      <c r="Z20" s="135">
        <f t="shared" si="2"/>
        <v>0</v>
      </c>
      <c r="AA20" s="110" t="str">
        <f t="shared" si="3"/>
        <v/>
      </c>
      <c r="AC20" s="166">
        <f>O20</f>
        <v>0</v>
      </c>
      <c r="AD20" t="str">
        <f>IF('qPCR Run Entry'!X20="","",'qPCR Run Entry'!X20)</f>
        <v/>
      </c>
      <c r="AE20" t="str">
        <f>IF('qPCR Run Entry'!Y20="","",'qPCR Run Entry'!Y20)</f>
        <v/>
      </c>
      <c r="AF20" s="73" t="str">
        <f>IF('qPCR Run Entry'!Z20="","",'qPCR Run Entry'!Z20)</f>
        <v/>
      </c>
      <c r="AG20" t="s">
        <v>68</v>
      </c>
      <c r="AH20" t="s">
        <v>67</v>
      </c>
      <c r="AI20" s="24"/>
      <c r="AJ20" s="24"/>
      <c r="AK20" s="24"/>
      <c r="AL20" s="62" t="str">
        <f>IF('qPCR Run Entry'!AF20="","",'qPCR Run Entry'!AF20)</f>
        <v/>
      </c>
      <c r="AM20" s="24"/>
      <c r="AN20" s="135">
        <f t="shared" si="4"/>
        <v>0</v>
      </c>
      <c r="AO20" s="110" t="str">
        <f t="shared" si="5"/>
        <v/>
      </c>
    </row>
    <row r="21" spans="1:41" ht="17" customHeight="1" x14ac:dyDescent="0.2">
      <c r="A21" s="166"/>
      <c r="B21" t="str">
        <f>IF('qPCR Run Entry'!B21="","",'qPCR Run Entry'!B21)</f>
        <v/>
      </c>
      <c r="C21" t="str">
        <f>IF('qPCR Run Entry'!C21="","",'qPCR Run Entry'!C21)</f>
        <v/>
      </c>
      <c r="D21" s="151"/>
      <c r="E21" t="s">
        <v>68</v>
      </c>
      <c r="F21" t="s">
        <v>67</v>
      </c>
      <c r="G21" s="24"/>
      <c r="H21" s="24"/>
      <c r="I21" s="24"/>
      <c r="J21" s="62" t="str">
        <f>IF('qPCR Run Entry'!J21="","",'qPCR Run Entry'!J21)</f>
        <v/>
      </c>
      <c r="K21" s="24"/>
      <c r="L21" s="135">
        <f t="shared" si="0"/>
        <v>0</v>
      </c>
      <c r="M21" s="110" t="str">
        <f t="shared" si="1"/>
        <v/>
      </c>
      <c r="O21" s="166"/>
      <c r="P21" t="str">
        <f>IF('qPCR Run Entry'!M21="","",'qPCR Run Entry'!M21)</f>
        <v/>
      </c>
      <c r="Q21" t="str">
        <f>IF('qPCR Run Entry'!N21="","",'qPCR Run Entry'!N21)</f>
        <v/>
      </c>
      <c r="R21" s="73" t="str">
        <f>IF('qPCR Run Entry'!O21="","",'qPCR Run Entry'!O21)</f>
        <v/>
      </c>
      <c r="S21" t="s">
        <v>68</v>
      </c>
      <c r="T21" t="s">
        <v>67</v>
      </c>
      <c r="U21" s="24"/>
      <c r="V21" s="24"/>
      <c r="W21" s="24"/>
      <c r="X21" s="62" t="str">
        <f>IF('qPCR Run Entry'!U21="","",'qPCR Run Entry'!U21)</f>
        <v/>
      </c>
      <c r="Y21" s="24"/>
      <c r="Z21" s="135">
        <f t="shared" si="2"/>
        <v>0</v>
      </c>
      <c r="AA21" s="110" t="str">
        <f t="shared" si="3"/>
        <v/>
      </c>
      <c r="AC21" s="166"/>
      <c r="AD21" t="str">
        <f>IF('qPCR Run Entry'!X21="","",'qPCR Run Entry'!X21)</f>
        <v/>
      </c>
      <c r="AE21" t="str">
        <f>IF('qPCR Run Entry'!Y21="","",'qPCR Run Entry'!Y21)</f>
        <v/>
      </c>
      <c r="AF21" s="73" t="str">
        <f>IF('qPCR Run Entry'!Z21="","",'qPCR Run Entry'!Z21)</f>
        <v/>
      </c>
      <c r="AG21" t="s">
        <v>68</v>
      </c>
      <c r="AH21" t="s">
        <v>67</v>
      </c>
      <c r="AI21" s="24"/>
      <c r="AJ21" s="24"/>
      <c r="AK21" s="24"/>
      <c r="AL21" s="62" t="str">
        <f>IF('qPCR Run Entry'!AF21="","",'qPCR Run Entry'!AF21)</f>
        <v/>
      </c>
      <c r="AM21" s="24"/>
      <c r="AN21" s="135">
        <f t="shared" si="4"/>
        <v>0</v>
      </c>
      <c r="AO21" s="110" t="str">
        <f t="shared" si="5"/>
        <v/>
      </c>
    </row>
    <row r="22" spans="1:41" ht="17" customHeight="1" x14ac:dyDescent="0.2">
      <c r="A22" s="166">
        <f>'Sample Metadata'!D11</f>
        <v>0</v>
      </c>
      <c r="B22" t="str">
        <f>IF('qPCR Run Entry'!B22="","",'qPCR Run Entry'!B22)</f>
        <v/>
      </c>
      <c r="C22" t="str">
        <f>IF('qPCR Run Entry'!C22="","",'qPCR Run Entry'!C22)</f>
        <v/>
      </c>
      <c r="D22" s="149" t="str">
        <f>IF('qPCR Run Entry'!D22="","",'qPCR Run Entry'!D22)</f>
        <v/>
      </c>
      <c r="E22" t="s">
        <v>68</v>
      </c>
      <c r="F22" t="s">
        <v>67</v>
      </c>
      <c r="G22" s="24"/>
      <c r="H22" s="24"/>
      <c r="I22" s="24"/>
      <c r="J22" s="62" t="str">
        <f>IF('qPCR Run Entry'!J22="","",'qPCR Run Entry'!J22)</f>
        <v/>
      </c>
      <c r="K22" s="24"/>
      <c r="L22" s="135">
        <f t="shared" si="0"/>
        <v>0</v>
      </c>
      <c r="M22" s="110" t="str">
        <f t="shared" si="1"/>
        <v/>
      </c>
      <c r="O22" s="166">
        <f>A22</f>
        <v>0</v>
      </c>
      <c r="P22" t="str">
        <f>IF('qPCR Run Entry'!M22="","",'qPCR Run Entry'!M22)</f>
        <v/>
      </c>
      <c r="Q22" t="str">
        <f>IF('qPCR Run Entry'!N22="","",'qPCR Run Entry'!N22)</f>
        <v/>
      </c>
      <c r="R22" s="73" t="str">
        <f>IF('qPCR Run Entry'!O22="","",'qPCR Run Entry'!O22)</f>
        <v/>
      </c>
      <c r="S22" t="s">
        <v>68</v>
      </c>
      <c r="T22" t="s">
        <v>67</v>
      </c>
      <c r="U22" s="24"/>
      <c r="V22" s="24"/>
      <c r="W22" s="24"/>
      <c r="X22" s="62" t="str">
        <f>IF('qPCR Run Entry'!U22="","",'qPCR Run Entry'!U22)</f>
        <v/>
      </c>
      <c r="Y22" s="24"/>
      <c r="Z22" s="135">
        <f t="shared" si="2"/>
        <v>0</v>
      </c>
      <c r="AA22" s="110" t="str">
        <f t="shared" si="3"/>
        <v/>
      </c>
      <c r="AC22" s="166">
        <f>O22</f>
        <v>0</v>
      </c>
      <c r="AD22" t="str">
        <f>IF('qPCR Run Entry'!X22="","",'qPCR Run Entry'!X22)</f>
        <v/>
      </c>
      <c r="AE22" t="str">
        <f>IF('qPCR Run Entry'!Y22="","",'qPCR Run Entry'!Y22)</f>
        <v/>
      </c>
      <c r="AF22" s="73" t="str">
        <f>IF('qPCR Run Entry'!Z22="","",'qPCR Run Entry'!Z22)</f>
        <v/>
      </c>
      <c r="AG22" t="s">
        <v>68</v>
      </c>
      <c r="AH22" t="s">
        <v>67</v>
      </c>
      <c r="AI22" s="24"/>
      <c r="AJ22" s="24"/>
      <c r="AK22" s="24"/>
      <c r="AL22" s="62" t="str">
        <f>IF('qPCR Run Entry'!AF22="","",'qPCR Run Entry'!AF22)</f>
        <v/>
      </c>
      <c r="AM22" s="24"/>
      <c r="AN22" s="135">
        <f t="shared" si="4"/>
        <v>0</v>
      </c>
      <c r="AO22" s="110" t="str">
        <f t="shared" si="5"/>
        <v/>
      </c>
    </row>
    <row r="23" spans="1:41" ht="17" customHeight="1" x14ac:dyDescent="0.2">
      <c r="A23" s="166"/>
      <c r="B23" t="str">
        <f>IF('qPCR Run Entry'!B23="","",'qPCR Run Entry'!B23)</f>
        <v/>
      </c>
      <c r="C23" t="str">
        <f>IF('qPCR Run Entry'!C23="","",'qPCR Run Entry'!C23)</f>
        <v/>
      </c>
      <c r="D23" s="151"/>
      <c r="E23" t="s">
        <v>68</v>
      </c>
      <c r="F23" t="s">
        <v>67</v>
      </c>
      <c r="G23" s="24"/>
      <c r="H23" s="24"/>
      <c r="I23" s="24"/>
      <c r="J23" s="62" t="str">
        <f>IF('qPCR Run Entry'!J23="","",'qPCR Run Entry'!J23)</f>
        <v/>
      </c>
      <c r="K23" s="24"/>
      <c r="L23" s="135">
        <f t="shared" si="0"/>
        <v>0</v>
      </c>
      <c r="M23" s="110" t="str">
        <f t="shared" si="1"/>
        <v/>
      </c>
      <c r="O23" s="166"/>
      <c r="P23" t="str">
        <f>IF('qPCR Run Entry'!M23="","",'qPCR Run Entry'!M23)</f>
        <v/>
      </c>
      <c r="Q23" t="str">
        <f>IF('qPCR Run Entry'!N23="","",'qPCR Run Entry'!N23)</f>
        <v/>
      </c>
      <c r="R23" s="73" t="str">
        <f>IF('qPCR Run Entry'!O23="","",'qPCR Run Entry'!O23)</f>
        <v/>
      </c>
      <c r="S23" t="s">
        <v>68</v>
      </c>
      <c r="T23" t="s">
        <v>67</v>
      </c>
      <c r="U23" s="24"/>
      <c r="V23" s="24"/>
      <c r="W23" s="24"/>
      <c r="X23" s="62" t="str">
        <f>IF('qPCR Run Entry'!U23="","",'qPCR Run Entry'!U23)</f>
        <v/>
      </c>
      <c r="Y23" s="24"/>
      <c r="Z23" s="135">
        <f t="shared" si="2"/>
        <v>0</v>
      </c>
      <c r="AA23" s="110" t="str">
        <f t="shared" si="3"/>
        <v/>
      </c>
      <c r="AC23" s="166"/>
      <c r="AD23" t="str">
        <f>IF('qPCR Run Entry'!X23="","",'qPCR Run Entry'!X23)</f>
        <v/>
      </c>
      <c r="AE23" t="str">
        <f>IF('qPCR Run Entry'!Y23="","",'qPCR Run Entry'!Y23)</f>
        <v/>
      </c>
      <c r="AF23" s="73" t="str">
        <f>IF('qPCR Run Entry'!Z23="","",'qPCR Run Entry'!Z23)</f>
        <v/>
      </c>
      <c r="AG23" t="s">
        <v>68</v>
      </c>
      <c r="AH23" t="s">
        <v>67</v>
      </c>
      <c r="AI23" s="24"/>
      <c r="AJ23" s="24"/>
      <c r="AK23" s="24"/>
      <c r="AL23" s="62" t="str">
        <f>IF('qPCR Run Entry'!AF23="","",'qPCR Run Entry'!AF23)</f>
        <v/>
      </c>
      <c r="AM23" s="24"/>
      <c r="AN23" s="135">
        <f t="shared" si="4"/>
        <v>0</v>
      </c>
      <c r="AO23" s="110" t="str">
        <f t="shared" si="5"/>
        <v/>
      </c>
    </row>
    <row r="24" spans="1:41" ht="17" customHeight="1" x14ac:dyDescent="0.2">
      <c r="A24" s="166">
        <f>'Sample Metadata'!D12</f>
        <v>0</v>
      </c>
      <c r="B24" t="str">
        <f>IF('qPCR Run Entry'!B24="","",'qPCR Run Entry'!B24)</f>
        <v/>
      </c>
      <c r="C24" t="str">
        <f>IF('qPCR Run Entry'!C24="","",'qPCR Run Entry'!C24)</f>
        <v/>
      </c>
      <c r="D24" s="149" t="str">
        <f>IF('qPCR Run Entry'!D24="","",'qPCR Run Entry'!D24)</f>
        <v/>
      </c>
      <c r="E24" t="s">
        <v>68</v>
      </c>
      <c r="F24" t="s">
        <v>67</v>
      </c>
      <c r="G24" s="24"/>
      <c r="H24" s="24"/>
      <c r="I24" s="24"/>
      <c r="J24" s="62" t="str">
        <f>IF('qPCR Run Entry'!J24="","",'qPCR Run Entry'!J24)</f>
        <v/>
      </c>
      <c r="K24" s="24"/>
      <c r="L24" s="135">
        <f t="shared" si="0"/>
        <v>0</v>
      </c>
      <c r="M24" s="110" t="str">
        <f t="shared" si="1"/>
        <v/>
      </c>
      <c r="O24" s="166">
        <f>A24</f>
        <v>0</v>
      </c>
      <c r="P24" t="str">
        <f>IF('qPCR Run Entry'!M24="","",'qPCR Run Entry'!M24)</f>
        <v/>
      </c>
      <c r="Q24" t="str">
        <f>IF('qPCR Run Entry'!N24="","",'qPCR Run Entry'!N24)</f>
        <v/>
      </c>
      <c r="R24" s="73" t="str">
        <f>IF('qPCR Run Entry'!O24="","",'qPCR Run Entry'!O24)</f>
        <v/>
      </c>
      <c r="S24" t="s">
        <v>68</v>
      </c>
      <c r="T24" t="s">
        <v>67</v>
      </c>
      <c r="U24" s="24"/>
      <c r="V24" s="24"/>
      <c r="W24" s="24"/>
      <c r="X24" s="62" t="str">
        <f>IF('qPCR Run Entry'!U24="","",'qPCR Run Entry'!U24)</f>
        <v/>
      </c>
      <c r="Y24" s="24"/>
      <c r="Z24" s="135">
        <f t="shared" si="2"/>
        <v>0</v>
      </c>
      <c r="AA24" s="110" t="str">
        <f t="shared" si="3"/>
        <v/>
      </c>
      <c r="AC24" s="166">
        <f>O24</f>
        <v>0</v>
      </c>
      <c r="AD24" t="str">
        <f>IF('qPCR Run Entry'!X24="","",'qPCR Run Entry'!X24)</f>
        <v/>
      </c>
      <c r="AE24" t="str">
        <f>IF('qPCR Run Entry'!Y24="","",'qPCR Run Entry'!Y24)</f>
        <v/>
      </c>
      <c r="AF24" s="73" t="str">
        <f>IF('qPCR Run Entry'!Z24="","",'qPCR Run Entry'!Z24)</f>
        <v/>
      </c>
      <c r="AG24" t="s">
        <v>68</v>
      </c>
      <c r="AH24" t="s">
        <v>67</v>
      </c>
      <c r="AI24" s="24"/>
      <c r="AJ24" s="24"/>
      <c r="AK24" s="24"/>
      <c r="AL24" s="62" t="str">
        <f>IF('qPCR Run Entry'!AF24="","",'qPCR Run Entry'!AF24)</f>
        <v/>
      </c>
      <c r="AM24" s="24"/>
      <c r="AN24" s="135">
        <f t="shared" si="4"/>
        <v>0</v>
      </c>
      <c r="AO24" s="110" t="str">
        <f t="shared" si="5"/>
        <v/>
      </c>
    </row>
    <row r="25" spans="1:41" ht="17" customHeight="1" x14ac:dyDescent="0.2">
      <c r="A25" s="166"/>
      <c r="B25" t="str">
        <f>IF('qPCR Run Entry'!B25="","",'qPCR Run Entry'!B25)</f>
        <v/>
      </c>
      <c r="C25" t="str">
        <f>IF('qPCR Run Entry'!C25="","",'qPCR Run Entry'!C25)</f>
        <v/>
      </c>
      <c r="D25" s="151"/>
      <c r="E25" t="s">
        <v>68</v>
      </c>
      <c r="F25" t="s">
        <v>67</v>
      </c>
      <c r="G25" s="24"/>
      <c r="H25" s="24"/>
      <c r="I25" s="24"/>
      <c r="J25" s="62" t="str">
        <f>IF('qPCR Run Entry'!J25="","",'qPCR Run Entry'!J25)</f>
        <v/>
      </c>
      <c r="K25" s="24"/>
      <c r="L25" s="135">
        <f t="shared" si="0"/>
        <v>0</v>
      </c>
      <c r="M25" s="110" t="str">
        <f t="shared" si="1"/>
        <v/>
      </c>
      <c r="O25" s="166"/>
      <c r="P25" t="str">
        <f>IF('qPCR Run Entry'!M25="","",'qPCR Run Entry'!M25)</f>
        <v/>
      </c>
      <c r="Q25" t="str">
        <f>IF('qPCR Run Entry'!N25="","",'qPCR Run Entry'!N25)</f>
        <v/>
      </c>
      <c r="R25" s="73" t="str">
        <f>IF('qPCR Run Entry'!O25="","",'qPCR Run Entry'!O25)</f>
        <v/>
      </c>
      <c r="S25" t="s">
        <v>68</v>
      </c>
      <c r="T25" t="s">
        <v>67</v>
      </c>
      <c r="U25" s="24"/>
      <c r="V25" s="24"/>
      <c r="W25" s="24"/>
      <c r="X25" s="62" t="str">
        <f>IF('qPCR Run Entry'!U25="","",'qPCR Run Entry'!U25)</f>
        <v/>
      </c>
      <c r="Y25" s="24"/>
      <c r="Z25" s="135">
        <f t="shared" si="2"/>
        <v>0</v>
      </c>
      <c r="AA25" s="110" t="str">
        <f t="shared" si="3"/>
        <v/>
      </c>
      <c r="AC25" s="166"/>
      <c r="AD25" t="str">
        <f>IF('qPCR Run Entry'!X25="","",'qPCR Run Entry'!X25)</f>
        <v/>
      </c>
      <c r="AE25" t="str">
        <f>IF('qPCR Run Entry'!Y25="","",'qPCR Run Entry'!Y25)</f>
        <v/>
      </c>
      <c r="AF25" s="73" t="str">
        <f>IF('qPCR Run Entry'!Z25="","",'qPCR Run Entry'!Z25)</f>
        <v/>
      </c>
      <c r="AG25" t="s">
        <v>68</v>
      </c>
      <c r="AH25" t="s">
        <v>67</v>
      </c>
      <c r="AI25" s="24"/>
      <c r="AJ25" s="24"/>
      <c r="AK25" s="24"/>
      <c r="AL25" s="62" t="str">
        <f>IF('qPCR Run Entry'!AF25="","",'qPCR Run Entry'!AF25)</f>
        <v/>
      </c>
      <c r="AM25" s="24"/>
      <c r="AN25" s="135">
        <f t="shared" si="4"/>
        <v>0</v>
      </c>
      <c r="AO25" s="110" t="str">
        <f t="shared" si="5"/>
        <v/>
      </c>
    </row>
    <row r="26" spans="1:41" ht="17" customHeight="1" x14ac:dyDescent="0.2">
      <c r="A26" s="166">
        <f>'Sample Metadata'!D13</f>
        <v>0</v>
      </c>
      <c r="B26" t="str">
        <f>IF('qPCR Run Entry'!B26="","",'qPCR Run Entry'!B26)</f>
        <v/>
      </c>
      <c r="C26" t="str">
        <f>IF('qPCR Run Entry'!C26="","",'qPCR Run Entry'!C26)</f>
        <v/>
      </c>
      <c r="D26" s="149" t="str">
        <f>IF('qPCR Run Entry'!D26="","",'qPCR Run Entry'!D26)</f>
        <v/>
      </c>
      <c r="E26" t="s">
        <v>68</v>
      </c>
      <c r="F26" t="s">
        <v>67</v>
      </c>
      <c r="G26" s="24"/>
      <c r="H26" s="24"/>
      <c r="I26" s="24"/>
      <c r="J26" s="62" t="str">
        <f>IF('qPCR Run Entry'!J26="","",'qPCR Run Entry'!J26)</f>
        <v/>
      </c>
      <c r="K26" s="24"/>
      <c r="L26" s="135">
        <f t="shared" si="0"/>
        <v>0</v>
      </c>
      <c r="M26" s="110" t="str">
        <f t="shared" si="1"/>
        <v/>
      </c>
      <c r="O26" s="166">
        <f>A26</f>
        <v>0</v>
      </c>
      <c r="P26" t="str">
        <f>IF('qPCR Run Entry'!M26="","",'qPCR Run Entry'!M26)</f>
        <v/>
      </c>
      <c r="Q26" t="str">
        <f>IF('qPCR Run Entry'!N26="","",'qPCR Run Entry'!N26)</f>
        <v/>
      </c>
      <c r="R26" s="73" t="str">
        <f>IF('qPCR Run Entry'!O26="","",'qPCR Run Entry'!O26)</f>
        <v/>
      </c>
      <c r="S26" t="s">
        <v>68</v>
      </c>
      <c r="T26" t="s">
        <v>67</v>
      </c>
      <c r="U26" s="24"/>
      <c r="V26" s="24"/>
      <c r="W26" s="24"/>
      <c r="X26" s="62" t="str">
        <f>IF('qPCR Run Entry'!U26="","",'qPCR Run Entry'!U26)</f>
        <v/>
      </c>
      <c r="Y26" s="24"/>
      <c r="Z26" s="135">
        <f t="shared" si="2"/>
        <v>0</v>
      </c>
      <c r="AA26" s="110" t="str">
        <f t="shared" si="3"/>
        <v/>
      </c>
      <c r="AC26" s="166">
        <f>O26</f>
        <v>0</v>
      </c>
      <c r="AD26" t="str">
        <f>IF('qPCR Run Entry'!X26="","",'qPCR Run Entry'!X26)</f>
        <v/>
      </c>
      <c r="AE26" t="str">
        <f>IF('qPCR Run Entry'!Y26="","",'qPCR Run Entry'!Y26)</f>
        <v/>
      </c>
      <c r="AF26" s="73" t="str">
        <f>IF('qPCR Run Entry'!Z26="","",'qPCR Run Entry'!Z26)</f>
        <v/>
      </c>
      <c r="AG26" t="s">
        <v>68</v>
      </c>
      <c r="AH26" t="s">
        <v>67</v>
      </c>
      <c r="AI26" s="24"/>
      <c r="AJ26" s="24"/>
      <c r="AK26" s="24"/>
      <c r="AL26" s="62" t="str">
        <f>IF('qPCR Run Entry'!AF26="","",'qPCR Run Entry'!AF26)</f>
        <v/>
      </c>
      <c r="AM26" s="24"/>
      <c r="AN26" s="135">
        <f t="shared" si="4"/>
        <v>0</v>
      </c>
      <c r="AO26" s="110" t="str">
        <f t="shared" si="5"/>
        <v/>
      </c>
    </row>
    <row r="27" spans="1:41" ht="17" customHeight="1" x14ac:dyDescent="0.2">
      <c r="A27" s="166"/>
      <c r="B27" t="str">
        <f>IF('qPCR Run Entry'!B27="","",'qPCR Run Entry'!B27)</f>
        <v/>
      </c>
      <c r="C27" t="str">
        <f>IF('qPCR Run Entry'!C27="","",'qPCR Run Entry'!C27)</f>
        <v/>
      </c>
      <c r="D27" s="151"/>
      <c r="E27" t="s">
        <v>68</v>
      </c>
      <c r="F27" t="s">
        <v>67</v>
      </c>
      <c r="G27" s="24"/>
      <c r="H27" s="24"/>
      <c r="I27" s="24"/>
      <c r="J27" s="62" t="str">
        <f>IF('qPCR Run Entry'!J27="","",'qPCR Run Entry'!J27)</f>
        <v/>
      </c>
      <c r="K27" s="24"/>
      <c r="L27" s="135">
        <f t="shared" si="0"/>
        <v>0</v>
      </c>
      <c r="M27" s="110" t="str">
        <f t="shared" si="1"/>
        <v/>
      </c>
      <c r="O27" s="166"/>
      <c r="P27" t="str">
        <f>IF('qPCR Run Entry'!M27="","",'qPCR Run Entry'!M27)</f>
        <v/>
      </c>
      <c r="Q27" t="str">
        <f>IF('qPCR Run Entry'!N27="","",'qPCR Run Entry'!N27)</f>
        <v/>
      </c>
      <c r="R27" s="73" t="str">
        <f>IF('qPCR Run Entry'!O27="","",'qPCR Run Entry'!O27)</f>
        <v/>
      </c>
      <c r="S27" t="s">
        <v>68</v>
      </c>
      <c r="T27" t="s">
        <v>67</v>
      </c>
      <c r="U27" s="24"/>
      <c r="V27" s="24"/>
      <c r="W27" s="24"/>
      <c r="X27" s="62" t="str">
        <f>IF('qPCR Run Entry'!U27="","",'qPCR Run Entry'!U27)</f>
        <v/>
      </c>
      <c r="Y27" s="24"/>
      <c r="Z27" s="135">
        <f t="shared" si="2"/>
        <v>0</v>
      </c>
      <c r="AA27" s="110" t="str">
        <f t="shared" si="3"/>
        <v/>
      </c>
      <c r="AC27" s="166"/>
      <c r="AD27" t="str">
        <f>IF('qPCR Run Entry'!X27="","",'qPCR Run Entry'!X27)</f>
        <v/>
      </c>
      <c r="AE27" t="str">
        <f>IF('qPCR Run Entry'!Y27="","",'qPCR Run Entry'!Y27)</f>
        <v/>
      </c>
      <c r="AF27" s="73" t="str">
        <f>IF('qPCR Run Entry'!Z27="","",'qPCR Run Entry'!Z27)</f>
        <v/>
      </c>
      <c r="AG27" t="s">
        <v>68</v>
      </c>
      <c r="AH27" t="s">
        <v>67</v>
      </c>
      <c r="AI27" s="24"/>
      <c r="AJ27" s="24"/>
      <c r="AK27" s="24"/>
      <c r="AL27" s="62" t="str">
        <f>IF('qPCR Run Entry'!AF27="","",'qPCR Run Entry'!AF27)</f>
        <v/>
      </c>
      <c r="AM27" s="24"/>
      <c r="AN27" s="135">
        <f t="shared" si="4"/>
        <v>0</v>
      </c>
      <c r="AO27" s="110" t="str">
        <f t="shared" si="5"/>
        <v/>
      </c>
    </row>
    <row r="28" spans="1:41" ht="17" customHeight="1" x14ac:dyDescent="0.2">
      <c r="A28" s="166">
        <f>'Sample Metadata'!D14</f>
        <v>0</v>
      </c>
      <c r="B28" t="str">
        <f>IF('qPCR Run Entry'!B28="","",'qPCR Run Entry'!B28)</f>
        <v/>
      </c>
      <c r="C28" t="str">
        <f>IF('qPCR Run Entry'!C28="","",'qPCR Run Entry'!C28)</f>
        <v/>
      </c>
      <c r="D28" s="149" t="str">
        <f>IF('qPCR Run Entry'!D28="","",'qPCR Run Entry'!D28)</f>
        <v/>
      </c>
      <c r="E28" t="s">
        <v>68</v>
      </c>
      <c r="F28" t="s">
        <v>67</v>
      </c>
      <c r="G28" s="24"/>
      <c r="H28" s="24"/>
      <c r="I28" s="24"/>
      <c r="J28" s="62" t="str">
        <f>IF('qPCR Run Entry'!J28="","",'qPCR Run Entry'!J28)</f>
        <v/>
      </c>
      <c r="K28" s="24"/>
      <c r="L28" s="135">
        <f t="shared" si="0"/>
        <v>0</v>
      </c>
      <c r="M28" s="110" t="str">
        <f t="shared" si="1"/>
        <v/>
      </c>
      <c r="O28" s="166">
        <f>A28</f>
        <v>0</v>
      </c>
      <c r="P28" t="str">
        <f>IF('qPCR Run Entry'!M28="","",'qPCR Run Entry'!M28)</f>
        <v/>
      </c>
      <c r="Q28" t="str">
        <f>IF('qPCR Run Entry'!N28="","",'qPCR Run Entry'!N28)</f>
        <v/>
      </c>
      <c r="R28" s="73" t="str">
        <f>IF('qPCR Run Entry'!O28="","",'qPCR Run Entry'!O28)</f>
        <v/>
      </c>
      <c r="S28" t="s">
        <v>68</v>
      </c>
      <c r="T28" t="s">
        <v>67</v>
      </c>
      <c r="U28" s="24"/>
      <c r="V28" s="24"/>
      <c r="W28" s="24"/>
      <c r="X28" s="62" t="str">
        <f>IF('qPCR Run Entry'!U28="","",'qPCR Run Entry'!U28)</f>
        <v/>
      </c>
      <c r="Y28" s="24"/>
      <c r="Z28" s="135">
        <f t="shared" si="2"/>
        <v>0</v>
      </c>
      <c r="AA28" s="110" t="str">
        <f t="shared" si="3"/>
        <v/>
      </c>
      <c r="AC28" s="166">
        <f>O28</f>
        <v>0</v>
      </c>
      <c r="AD28" t="str">
        <f>IF('qPCR Run Entry'!X28="","",'qPCR Run Entry'!X28)</f>
        <v/>
      </c>
      <c r="AE28" t="str">
        <f>IF('qPCR Run Entry'!Y28="","",'qPCR Run Entry'!Y28)</f>
        <v/>
      </c>
      <c r="AF28" s="73" t="str">
        <f>IF('qPCR Run Entry'!Z28="","",'qPCR Run Entry'!Z28)</f>
        <v/>
      </c>
      <c r="AG28" t="s">
        <v>68</v>
      </c>
      <c r="AH28" t="s">
        <v>67</v>
      </c>
      <c r="AI28" s="24"/>
      <c r="AJ28" s="24"/>
      <c r="AK28" s="24"/>
      <c r="AL28" s="62" t="str">
        <f>IF('qPCR Run Entry'!AF28="","",'qPCR Run Entry'!AF28)</f>
        <v/>
      </c>
      <c r="AM28" s="24"/>
      <c r="AN28" s="135">
        <f t="shared" si="4"/>
        <v>0</v>
      </c>
      <c r="AO28" s="110" t="str">
        <f t="shared" si="5"/>
        <v/>
      </c>
    </row>
    <row r="29" spans="1:41" ht="17" customHeight="1" x14ac:dyDescent="0.2">
      <c r="A29" s="166"/>
      <c r="B29" t="str">
        <f>IF('qPCR Run Entry'!B29="","",'qPCR Run Entry'!B29)</f>
        <v/>
      </c>
      <c r="C29" t="str">
        <f>IF('qPCR Run Entry'!C29="","",'qPCR Run Entry'!C29)</f>
        <v/>
      </c>
      <c r="D29" s="151"/>
      <c r="E29" t="s">
        <v>68</v>
      </c>
      <c r="F29" t="s">
        <v>67</v>
      </c>
      <c r="G29" s="24"/>
      <c r="H29" s="24"/>
      <c r="I29" s="24"/>
      <c r="J29" s="62" t="str">
        <f>IF('qPCR Run Entry'!J29="","",'qPCR Run Entry'!J29)</f>
        <v/>
      </c>
      <c r="K29" s="24"/>
      <c r="L29" s="135">
        <f t="shared" si="0"/>
        <v>0</v>
      </c>
      <c r="M29" s="110" t="str">
        <f t="shared" si="1"/>
        <v/>
      </c>
      <c r="O29" s="166"/>
      <c r="P29" t="str">
        <f>IF('qPCR Run Entry'!M29="","",'qPCR Run Entry'!M29)</f>
        <v/>
      </c>
      <c r="Q29" t="str">
        <f>IF('qPCR Run Entry'!N29="","",'qPCR Run Entry'!N29)</f>
        <v/>
      </c>
      <c r="R29" s="73" t="str">
        <f>IF('qPCR Run Entry'!O29="","",'qPCR Run Entry'!O29)</f>
        <v/>
      </c>
      <c r="S29" t="s">
        <v>68</v>
      </c>
      <c r="T29" t="s">
        <v>67</v>
      </c>
      <c r="U29" s="24"/>
      <c r="V29" s="24"/>
      <c r="W29" s="24"/>
      <c r="X29" s="62" t="str">
        <f>IF('qPCR Run Entry'!U29="","",'qPCR Run Entry'!U29)</f>
        <v/>
      </c>
      <c r="Y29" s="24"/>
      <c r="Z29" s="135">
        <f t="shared" si="2"/>
        <v>0</v>
      </c>
      <c r="AA29" s="110" t="str">
        <f t="shared" si="3"/>
        <v/>
      </c>
      <c r="AC29" s="166"/>
      <c r="AD29" t="str">
        <f>IF('qPCR Run Entry'!X29="","",'qPCR Run Entry'!X29)</f>
        <v/>
      </c>
      <c r="AE29" t="str">
        <f>IF('qPCR Run Entry'!Y29="","",'qPCR Run Entry'!Y29)</f>
        <v/>
      </c>
      <c r="AF29" s="73" t="str">
        <f>IF('qPCR Run Entry'!Z29="","",'qPCR Run Entry'!Z29)</f>
        <v/>
      </c>
      <c r="AG29" t="s">
        <v>68</v>
      </c>
      <c r="AH29" t="s">
        <v>67</v>
      </c>
      <c r="AI29" s="24"/>
      <c r="AJ29" s="24"/>
      <c r="AK29" s="24"/>
      <c r="AL29" s="62" t="str">
        <f>IF('qPCR Run Entry'!AF29="","",'qPCR Run Entry'!AF29)</f>
        <v/>
      </c>
      <c r="AM29" s="24"/>
      <c r="AN29" s="135">
        <f t="shared" si="4"/>
        <v>0</v>
      </c>
      <c r="AO29" s="110" t="str">
        <f t="shared" si="5"/>
        <v/>
      </c>
    </row>
    <row r="30" spans="1:41" ht="17" customHeight="1" x14ac:dyDescent="0.2">
      <c r="A30" s="166">
        <f>'Sample Metadata'!D15</f>
        <v>0</v>
      </c>
      <c r="B30" t="str">
        <f>IF('qPCR Run Entry'!B30="","",'qPCR Run Entry'!B30)</f>
        <v/>
      </c>
      <c r="C30" t="str">
        <f>IF('qPCR Run Entry'!C30="","",'qPCR Run Entry'!C30)</f>
        <v/>
      </c>
      <c r="D30" s="149" t="str">
        <f>IF('qPCR Run Entry'!D30="","",'qPCR Run Entry'!D30)</f>
        <v/>
      </c>
      <c r="E30" t="s">
        <v>68</v>
      </c>
      <c r="F30" t="s">
        <v>67</v>
      </c>
      <c r="G30" s="24"/>
      <c r="H30" s="24"/>
      <c r="I30" s="24"/>
      <c r="J30" s="62" t="str">
        <f>IF('qPCR Run Entry'!J30="","",'qPCR Run Entry'!J30)</f>
        <v/>
      </c>
      <c r="K30" s="24"/>
      <c r="L30" s="135">
        <f t="shared" si="0"/>
        <v>0</v>
      </c>
      <c r="M30" s="110" t="str">
        <f t="shared" si="1"/>
        <v/>
      </c>
      <c r="O30" s="166">
        <f>A30</f>
        <v>0</v>
      </c>
      <c r="P30" t="str">
        <f>IF('qPCR Run Entry'!M30="","",'qPCR Run Entry'!M30)</f>
        <v/>
      </c>
      <c r="Q30" t="str">
        <f>IF('qPCR Run Entry'!N30="","",'qPCR Run Entry'!N30)</f>
        <v/>
      </c>
      <c r="R30" s="73" t="str">
        <f>IF('qPCR Run Entry'!O30="","",'qPCR Run Entry'!O30)</f>
        <v/>
      </c>
      <c r="S30" t="s">
        <v>68</v>
      </c>
      <c r="T30" t="s">
        <v>67</v>
      </c>
      <c r="U30" s="24"/>
      <c r="V30" s="24"/>
      <c r="W30" s="24"/>
      <c r="X30" s="62" t="str">
        <f>IF('qPCR Run Entry'!U30="","",'qPCR Run Entry'!U30)</f>
        <v/>
      </c>
      <c r="Y30" s="24"/>
      <c r="Z30" s="135">
        <f t="shared" si="2"/>
        <v>0</v>
      </c>
      <c r="AA30" s="110" t="str">
        <f t="shared" si="3"/>
        <v/>
      </c>
      <c r="AC30" s="166">
        <f>O30</f>
        <v>0</v>
      </c>
      <c r="AD30" t="str">
        <f>IF('qPCR Run Entry'!X30="","",'qPCR Run Entry'!X30)</f>
        <v/>
      </c>
      <c r="AE30" t="str">
        <f>IF('qPCR Run Entry'!Y30="","",'qPCR Run Entry'!Y30)</f>
        <v/>
      </c>
      <c r="AF30" s="73" t="str">
        <f>IF('qPCR Run Entry'!Z30="","",'qPCR Run Entry'!Z30)</f>
        <v/>
      </c>
      <c r="AG30" t="s">
        <v>68</v>
      </c>
      <c r="AH30" t="s">
        <v>67</v>
      </c>
      <c r="AI30" s="24"/>
      <c r="AJ30" s="24"/>
      <c r="AK30" s="24"/>
      <c r="AL30" s="62" t="str">
        <f>IF('qPCR Run Entry'!AF30="","",'qPCR Run Entry'!AF30)</f>
        <v/>
      </c>
      <c r="AM30" s="24"/>
      <c r="AN30" s="135">
        <f t="shared" si="4"/>
        <v>0</v>
      </c>
      <c r="AO30" s="110" t="str">
        <f t="shared" si="5"/>
        <v/>
      </c>
    </row>
    <row r="31" spans="1:41" ht="17" customHeight="1" x14ac:dyDescent="0.2">
      <c r="A31" s="166"/>
      <c r="B31" t="str">
        <f>IF('qPCR Run Entry'!B31="","",'qPCR Run Entry'!B31)</f>
        <v/>
      </c>
      <c r="C31" t="str">
        <f>IF('qPCR Run Entry'!C31="","",'qPCR Run Entry'!C31)</f>
        <v/>
      </c>
      <c r="D31" s="151"/>
      <c r="E31" t="s">
        <v>68</v>
      </c>
      <c r="F31" t="s">
        <v>67</v>
      </c>
      <c r="G31" s="24"/>
      <c r="H31" s="24"/>
      <c r="I31" s="24"/>
      <c r="J31" s="62" t="str">
        <f>IF('qPCR Run Entry'!J31="","",'qPCR Run Entry'!J31)</f>
        <v/>
      </c>
      <c r="K31" s="24"/>
      <c r="L31" s="135">
        <f t="shared" si="0"/>
        <v>0</v>
      </c>
      <c r="M31" s="110" t="str">
        <f t="shared" si="1"/>
        <v/>
      </c>
      <c r="O31" s="166"/>
      <c r="P31" t="str">
        <f>IF('qPCR Run Entry'!M31="","",'qPCR Run Entry'!M31)</f>
        <v/>
      </c>
      <c r="Q31" t="str">
        <f>IF('qPCR Run Entry'!N31="","",'qPCR Run Entry'!N31)</f>
        <v/>
      </c>
      <c r="R31" s="73" t="str">
        <f>IF('qPCR Run Entry'!O31="","",'qPCR Run Entry'!O31)</f>
        <v/>
      </c>
      <c r="S31" t="s">
        <v>68</v>
      </c>
      <c r="T31" t="s">
        <v>67</v>
      </c>
      <c r="U31" s="24"/>
      <c r="V31" s="24"/>
      <c r="W31" s="24"/>
      <c r="X31" s="62" t="str">
        <f>IF('qPCR Run Entry'!U31="","",'qPCR Run Entry'!U31)</f>
        <v/>
      </c>
      <c r="Y31" s="24"/>
      <c r="Z31" s="135">
        <f t="shared" si="2"/>
        <v>0</v>
      </c>
      <c r="AA31" s="110" t="str">
        <f t="shared" si="3"/>
        <v/>
      </c>
      <c r="AC31" s="166"/>
      <c r="AD31" t="str">
        <f>IF('qPCR Run Entry'!X31="","",'qPCR Run Entry'!X31)</f>
        <v/>
      </c>
      <c r="AE31" t="str">
        <f>IF('qPCR Run Entry'!Y31="","",'qPCR Run Entry'!Y31)</f>
        <v/>
      </c>
      <c r="AF31" s="73" t="str">
        <f>IF('qPCR Run Entry'!Z31="","",'qPCR Run Entry'!Z31)</f>
        <v/>
      </c>
      <c r="AG31" t="s">
        <v>68</v>
      </c>
      <c r="AH31" t="s">
        <v>67</v>
      </c>
      <c r="AI31" s="24"/>
      <c r="AJ31" s="24"/>
      <c r="AK31" s="24"/>
      <c r="AL31" s="62" t="str">
        <f>IF('qPCR Run Entry'!AF31="","",'qPCR Run Entry'!AF31)</f>
        <v/>
      </c>
      <c r="AM31" s="24"/>
      <c r="AN31" s="135">
        <f t="shared" si="4"/>
        <v>0</v>
      </c>
      <c r="AO31" s="110" t="str">
        <f t="shared" si="5"/>
        <v/>
      </c>
    </row>
    <row r="32" spans="1:41" ht="17" customHeight="1" x14ac:dyDescent="0.2">
      <c r="A32" s="166">
        <f>'Sample Metadata'!D16</f>
        <v>0</v>
      </c>
      <c r="B32" t="str">
        <f>IF('qPCR Run Entry'!B32="","",'qPCR Run Entry'!B32)</f>
        <v/>
      </c>
      <c r="C32" t="str">
        <f>IF('qPCR Run Entry'!C32="","",'qPCR Run Entry'!C32)</f>
        <v/>
      </c>
      <c r="D32" s="149" t="str">
        <f>IF('qPCR Run Entry'!D32="","",'qPCR Run Entry'!D32)</f>
        <v/>
      </c>
      <c r="E32" t="s">
        <v>68</v>
      </c>
      <c r="F32" t="s">
        <v>67</v>
      </c>
      <c r="G32" s="24"/>
      <c r="H32" s="24"/>
      <c r="I32" s="24"/>
      <c r="J32" s="62" t="str">
        <f>IF('qPCR Run Entry'!J32="","",'qPCR Run Entry'!J32)</f>
        <v/>
      </c>
      <c r="K32" s="24"/>
      <c r="L32" s="135">
        <f t="shared" si="0"/>
        <v>0</v>
      </c>
      <c r="M32" s="110" t="str">
        <f t="shared" si="1"/>
        <v/>
      </c>
      <c r="O32" s="166">
        <f>A32</f>
        <v>0</v>
      </c>
      <c r="P32" t="str">
        <f>IF('qPCR Run Entry'!M32="","",'qPCR Run Entry'!M32)</f>
        <v/>
      </c>
      <c r="Q32" t="str">
        <f>IF('qPCR Run Entry'!N32="","",'qPCR Run Entry'!N32)</f>
        <v/>
      </c>
      <c r="R32" s="73" t="str">
        <f>IF('qPCR Run Entry'!O32="","",'qPCR Run Entry'!O32)</f>
        <v/>
      </c>
      <c r="S32" t="s">
        <v>68</v>
      </c>
      <c r="T32" t="s">
        <v>67</v>
      </c>
      <c r="U32" s="24"/>
      <c r="V32" s="24"/>
      <c r="W32" s="24"/>
      <c r="X32" s="62" t="str">
        <f>IF('qPCR Run Entry'!U32="","",'qPCR Run Entry'!U32)</f>
        <v/>
      </c>
      <c r="Y32" s="24"/>
      <c r="Z32" s="135">
        <f t="shared" si="2"/>
        <v>0</v>
      </c>
      <c r="AA32" s="110" t="str">
        <f t="shared" si="3"/>
        <v/>
      </c>
      <c r="AC32" s="166">
        <f>O32</f>
        <v>0</v>
      </c>
      <c r="AD32" t="str">
        <f>IF('qPCR Run Entry'!X32="","",'qPCR Run Entry'!X32)</f>
        <v/>
      </c>
      <c r="AE32" t="str">
        <f>IF('qPCR Run Entry'!Y32="","",'qPCR Run Entry'!Y32)</f>
        <v/>
      </c>
      <c r="AF32" s="73" t="str">
        <f>IF('qPCR Run Entry'!Z32="","",'qPCR Run Entry'!Z32)</f>
        <v/>
      </c>
      <c r="AG32" t="s">
        <v>68</v>
      </c>
      <c r="AH32" t="s">
        <v>67</v>
      </c>
      <c r="AI32" s="24"/>
      <c r="AJ32" s="24"/>
      <c r="AK32" s="24"/>
      <c r="AL32" s="62" t="str">
        <f>IF('qPCR Run Entry'!AF32="","",'qPCR Run Entry'!AF32)</f>
        <v/>
      </c>
      <c r="AM32" s="24"/>
      <c r="AN32" s="135">
        <f t="shared" si="4"/>
        <v>0</v>
      </c>
      <c r="AO32" s="110" t="str">
        <f t="shared" si="5"/>
        <v/>
      </c>
    </row>
    <row r="33" spans="1:41" ht="17" customHeight="1" x14ac:dyDescent="0.2">
      <c r="A33" s="166"/>
      <c r="B33" t="str">
        <f>IF('qPCR Run Entry'!B33="","",'qPCR Run Entry'!B33)</f>
        <v/>
      </c>
      <c r="C33" t="str">
        <f>IF('qPCR Run Entry'!C33="","",'qPCR Run Entry'!C33)</f>
        <v/>
      </c>
      <c r="D33" s="151"/>
      <c r="E33" t="s">
        <v>68</v>
      </c>
      <c r="F33" t="s">
        <v>67</v>
      </c>
      <c r="G33" s="24"/>
      <c r="H33" s="24"/>
      <c r="I33" s="24"/>
      <c r="J33" s="62" t="str">
        <f>IF('qPCR Run Entry'!J33="","",'qPCR Run Entry'!J33)</f>
        <v/>
      </c>
      <c r="K33" s="24"/>
      <c r="L33" s="135">
        <f t="shared" si="0"/>
        <v>0</v>
      </c>
      <c r="M33" s="110" t="str">
        <f t="shared" si="1"/>
        <v/>
      </c>
      <c r="O33" s="166"/>
      <c r="P33" t="str">
        <f>IF('qPCR Run Entry'!M33="","",'qPCR Run Entry'!M33)</f>
        <v/>
      </c>
      <c r="Q33" t="str">
        <f>IF('qPCR Run Entry'!N33="","",'qPCR Run Entry'!N33)</f>
        <v/>
      </c>
      <c r="R33" s="73" t="str">
        <f>IF('qPCR Run Entry'!O33="","",'qPCR Run Entry'!O33)</f>
        <v/>
      </c>
      <c r="S33" t="s">
        <v>68</v>
      </c>
      <c r="T33" t="s">
        <v>67</v>
      </c>
      <c r="U33" s="24"/>
      <c r="V33" s="24"/>
      <c r="W33" s="24"/>
      <c r="X33" s="62" t="str">
        <f>IF('qPCR Run Entry'!U33="","",'qPCR Run Entry'!U33)</f>
        <v/>
      </c>
      <c r="Y33" s="24"/>
      <c r="Z33" s="135">
        <f t="shared" si="2"/>
        <v>0</v>
      </c>
      <c r="AA33" s="110" t="str">
        <f t="shared" si="3"/>
        <v/>
      </c>
      <c r="AC33" s="166"/>
      <c r="AD33" t="str">
        <f>IF('qPCR Run Entry'!X33="","",'qPCR Run Entry'!X33)</f>
        <v/>
      </c>
      <c r="AE33" t="str">
        <f>IF('qPCR Run Entry'!Y33="","",'qPCR Run Entry'!Y33)</f>
        <v/>
      </c>
      <c r="AF33" s="73" t="str">
        <f>IF('qPCR Run Entry'!Z33="","",'qPCR Run Entry'!Z33)</f>
        <v/>
      </c>
      <c r="AG33" t="s">
        <v>68</v>
      </c>
      <c r="AH33" t="s">
        <v>67</v>
      </c>
      <c r="AI33" s="24"/>
      <c r="AJ33" s="24"/>
      <c r="AK33" s="24"/>
      <c r="AL33" s="62" t="str">
        <f>IF('qPCR Run Entry'!AF33="","",'qPCR Run Entry'!AF33)</f>
        <v/>
      </c>
      <c r="AM33" s="24"/>
      <c r="AN33" s="135">
        <f t="shared" si="4"/>
        <v>0</v>
      </c>
      <c r="AO33" s="110" t="str">
        <f t="shared" si="5"/>
        <v/>
      </c>
    </row>
    <row r="34" spans="1:41" ht="17" customHeight="1" x14ac:dyDescent="0.2">
      <c r="A34" s="166">
        <f>'Sample Metadata'!D17</f>
        <v>0</v>
      </c>
      <c r="B34" t="str">
        <f>IF('qPCR Run Entry'!B34="","",'qPCR Run Entry'!B34)</f>
        <v/>
      </c>
      <c r="C34" t="str">
        <f>IF('qPCR Run Entry'!C34="","",'qPCR Run Entry'!C34)</f>
        <v/>
      </c>
      <c r="D34" s="149" t="str">
        <f>IF('qPCR Run Entry'!D34="","",'qPCR Run Entry'!D34)</f>
        <v/>
      </c>
      <c r="E34" t="s">
        <v>68</v>
      </c>
      <c r="F34" t="s">
        <v>67</v>
      </c>
      <c r="G34" s="24"/>
      <c r="H34" s="24"/>
      <c r="I34" s="24"/>
      <c r="J34" s="62" t="str">
        <f>IF('qPCR Run Entry'!J34="","",'qPCR Run Entry'!J34)</f>
        <v/>
      </c>
      <c r="K34" s="24"/>
      <c r="L34" s="135">
        <f t="shared" si="0"/>
        <v>0</v>
      </c>
      <c r="M34" s="110" t="str">
        <f t="shared" si="1"/>
        <v/>
      </c>
      <c r="O34" s="166">
        <f>A34</f>
        <v>0</v>
      </c>
      <c r="P34" t="str">
        <f>IF('qPCR Run Entry'!M34="","",'qPCR Run Entry'!M34)</f>
        <v/>
      </c>
      <c r="Q34" t="str">
        <f>IF('qPCR Run Entry'!N34="","",'qPCR Run Entry'!N34)</f>
        <v/>
      </c>
      <c r="R34" s="73" t="str">
        <f>IF('qPCR Run Entry'!O34="","",'qPCR Run Entry'!O34)</f>
        <v/>
      </c>
      <c r="S34" t="s">
        <v>68</v>
      </c>
      <c r="T34" t="s">
        <v>67</v>
      </c>
      <c r="U34" s="24"/>
      <c r="V34" s="24"/>
      <c r="W34" s="24"/>
      <c r="X34" s="62" t="str">
        <f>IF('qPCR Run Entry'!U34="","",'qPCR Run Entry'!U34)</f>
        <v/>
      </c>
      <c r="Y34" s="24"/>
      <c r="Z34" s="135">
        <f t="shared" si="2"/>
        <v>0</v>
      </c>
      <c r="AA34" s="110" t="str">
        <f t="shared" si="3"/>
        <v/>
      </c>
      <c r="AC34" s="166">
        <f>O34</f>
        <v>0</v>
      </c>
      <c r="AD34" t="str">
        <f>IF('qPCR Run Entry'!X34="","",'qPCR Run Entry'!X34)</f>
        <v/>
      </c>
      <c r="AE34" t="str">
        <f>IF('qPCR Run Entry'!Y34="","",'qPCR Run Entry'!Y34)</f>
        <v/>
      </c>
      <c r="AF34" s="73" t="str">
        <f>IF('qPCR Run Entry'!Z34="","",'qPCR Run Entry'!Z34)</f>
        <v/>
      </c>
      <c r="AG34" t="s">
        <v>68</v>
      </c>
      <c r="AH34" t="s">
        <v>67</v>
      </c>
      <c r="AI34" s="24"/>
      <c r="AJ34" s="24"/>
      <c r="AK34" s="24"/>
      <c r="AL34" s="62" t="str">
        <f>IF('qPCR Run Entry'!AF34="","",'qPCR Run Entry'!AF34)</f>
        <v/>
      </c>
      <c r="AM34" s="24"/>
      <c r="AN34" s="135">
        <f t="shared" si="4"/>
        <v>0</v>
      </c>
      <c r="AO34" s="110" t="str">
        <f t="shared" si="5"/>
        <v/>
      </c>
    </row>
    <row r="35" spans="1:41" ht="17" customHeight="1" x14ac:dyDescent="0.2">
      <c r="A35" s="166"/>
      <c r="B35" t="str">
        <f>IF('qPCR Run Entry'!B35="","",'qPCR Run Entry'!B35)</f>
        <v/>
      </c>
      <c r="C35" t="str">
        <f>IF('qPCR Run Entry'!C35="","",'qPCR Run Entry'!C35)</f>
        <v/>
      </c>
      <c r="D35" s="151"/>
      <c r="E35" t="s">
        <v>68</v>
      </c>
      <c r="F35" t="s">
        <v>67</v>
      </c>
      <c r="G35" s="24"/>
      <c r="H35" s="24"/>
      <c r="I35" s="24"/>
      <c r="J35" s="62" t="str">
        <f>IF('qPCR Run Entry'!J35="","",'qPCR Run Entry'!J35)</f>
        <v/>
      </c>
      <c r="K35" s="24"/>
      <c r="L35" s="135">
        <f t="shared" si="0"/>
        <v>0</v>
      </c>
      <c r="M35" s="110" t="str">
        <f t="shared" si="1"/>
        <v/>
      </c>
      <c r="O35" s="166"/>
      <c r="P35" t="str">
        <f>IF('qPCR Run Entry'!M35="","",'qPCR Run Entry'!M35)</f>
        <v/>
      </c>
      <c r="Q35" t="str">
        <f>IF('qPCR Run Entry'!N35="","",'qPCR Run Entry'!N35)</f>
        <v/>
      </c>
      <c r="R35" s="73" t="str">
        <f>IF('qPCR Run Entry'!O35="","",'qPCR Run Entry'!O35)</f>
        <v/>
      </c>
      <c r="S35" t="s">
        <v>68</v>
      </c>
      <c r="T35" t="s">
        <v>67</v>
      </c>
      <c r="U35" s="24"/>
      <c r="V35" s="24"/>
      <c r="W35" s="24"/>
      <c r="X35" s="62" t="str">
        <f>IF('qPCR Run Entry'!U35="","",'qPCR Run Entry'!U35)</f>
        <v/>
      </c>
      <c r="Y35" s="24"/>
      <c r="Z35" s="135">
        <f t="shared" si="2"/>
        <v>0</v>
      </c>
      <c r="AA35" s="110" t="str">
        <f t="shared" si="3"/>
        <v/>
      </c>
      <c r="AC35" s="166"/>
      <c r="AD35" t="str">
        <f>IF('qPCR Run Entry'!X35="","",'qPCR Run Entry'!X35)</f>
        <v/>
      </c>
      <c r="AE35" t="str">
        <f>IF('qPCR Run Entry'!Y35="","",'qPCR Run Entry'!Y35)</f>
        <v/>
      </c>
      <c r="AF35" s="73" t="str">
        <f>IF('qPCR Run Entry'!Z35="","",'qPCR Run Entry'!Z35)</f>
        <v/>
      </c>
      <c r="AG35" t="s">
        <v>68</v>
      </c>
      <c r="AH35" t="s">
        <v>67</v>
      </c>
      <c r="AI35" s="24"/>
      <c r="AJ35" s="24"/>
      <c r="AK35" s="24"/>
      <c r="AL35" s="62" t="str">
        <f>IF('qPCR Run Entry'!AF35="","",'qPCR Run Entry'!AF35)</f>
        <v/>
      </c>
      <c r="AM35" s="24"/>
      <c r="AN35" s="135">
        <f t="shared" si="4"/>
        <v>0</v>
      </c>
      <c r="AO35" s="110" t="str">
        <f t="shared" si="5"/>
        <v/>
      </c>
    </row>
    <row r="36" spans="1:41" ht="17" customHeight="1" x14ac:dyDescent="0.2">
      <c r="A36" s="166">
        <f>'Sample Metadata'!D18</f>
        <v>0</v>
      </c>
      <c r="B36" t="str">
        <f>IF('qPCR Run Entry'!B36="","",'qPCR Run Entry'!B36)</f>
        <v/>
      </c>
      <c r="C36" t="str">
        <f>IF('qPCR Run Entry'!C36="","",'qPCR Run Entry'!C36)</f>
        <v/>
      </c>
      <c r="D36" s="149" t="str">
        <f>IF('qPCR Run Entry'!D36="","",'qPCR Run Entry'!D36)</f>
        <v/>
      </c>
      <c r="E36" t="s">
        <v>68</v>
      </c>
      <c r="F36" t="s">
        <v>67</v>
      </c>
      <c r="G36" s="24"/>
      <c r="H36" s="24"/>
      <c r="I36" s="24"/>
      <c r="J36" s="62" t="str">
        <f>IF('qPCR Run Entry'!J36="","",'qPCR Run Entry'!J36)</f>
        <v/>
      </c>
      <c r="K36" s="24"/>
      <c r="L36" s="135">
        <f t="shared" si="0"/>
        <v>0</v>
      </c>
      <c r="M36" s="110" t="str">
        <f t="shared" si="1"/>
        <v/>
      </c>
      <c r="O36" s="166">
        <f>A36</f>
        <v>0</v>
      </c>
      <c r="P36" t="str">
        <f>IF('qPCR Run Entry'!M36="","",'qPCR Run Entry'!M36)</f>
        <v/>
      </c>
      <c r="Q36" t="str">
        <f>IF('qPCR Run Entry'!N36="","",'qPCR Run Entry'!N36)</f>
        <v/>
      </c>
      <c r="R36" s="73" t="str">
        <f>IF('qPCR Run Entry'!O36="","",'qPCR Run Entry'!O36)</f>
        <v/>
      </c>
      <c r="S36" t="s">
        <v>68</v>
      </c>
      <c r="T36" t="s">
        <v>67</v>
      </c>
      <c r="U36" s="24"/>
      <c r="V36" s="24"/>
      <c r="W36" s="24"/>
      <c r="X36" s="62" t="str">
        <f>IF('qPCR Run Entry'!U36="","",'qPCR Run Entry'!U36)</f>
        <v/>
      </c>
      <c r="Y36" s="24"/>
      <c r="Z36" s="135">
        <f t="shared" si="2"/>
        <v>0</v>
      </c>
      <c r="AA36" s="110" t="str">
        <f t="shared" si="3"/>
        <v/>
      </c>
      <c r="AC36" s="166">
        <f>O36</f>
        <v>0</v>
      </c>
      <c r="AD36" t="str">
        <f>IF('qPCR Run Entry'!X36="","",'qPCR Run Entry'!X36)</f>
        <v/>
      </c>
      <c r="AE36" t="str">
        <f>IF('qPCR Run Entry'!Y36="","",'qPCR Run Entry'!Y36)</f>
        <v/>
      </c>
      <c r="AF36" s="73" t="str">
        <f>IF('qPCR Run Entry'!Z36="","",'qPCR Run Entry'!Z36)</f>
        <v/>
      </c>
      <c r="AG36" t="s">
        <v>68</v>
      </c>
      <c r="AH36" t="s">
        <v>67</v>
      </c>
      <c r="AI36" s="24"/>
      <c r="AJ36" s="24"/>
      <c r="AK36" s="24"/>
      <c r="AL36" s="62" t="str">
        <f>IF('qPCR Run Entry'!AF36="","",'qPCR Run Entry'!AF36)</f>
        <v/>
      </c>
      <c r="AM36" s="24"/>
      <c r="AN36" s="135">
        <f t="shared" si="4"/>
        <v>0</v>
      </c>
      <c r="AO36" s="110" t="str">
        <f t="shared" si="5"/>
        <v/>
      </c>
    </row>
    <row r="37" spans="1:41" ht="17" customHeight="1" x14ac:dyDescent="0.2">
      <c r="A37" s="166"/>
      <c r="B37" t="str">
        <f>IF('qPCR Run Entry'!B37="","",'qPCR Run Entry'!B37)</f>
        <v/>
      </c>
      <c r="C37" t="str">
        <f>IF('qPCR Run Entry'!C37="","",'qPCR Run Entry'!C37)</f>
        <v/>
      </c>
      <c r="D37" s="151"/>
      <c r="E37" t="s">
        <v>68</v>
      </c>
      <c r="F37" t="s">
        <v>67</v>
      </c>
      <c r="G37" s="24"/>
      <c r="H37" s="24"/>
      <c r="I37" s="24"/>
      <c r="J37" s="62" t="str">
        <f>IF('qPCR Run Entry'!J37="","",'qPCR Run Entry'!J37)</f>
        <v/>
      </c>
      <c r="K37" s="24"/>
      <c r="L37" s="135">
        <f t="shared" si="0"/>
        <v>0</v>
      </c>
      <c r="M37" s="110" t="str">
        <f t="shared" si="1"/>
        <v/>
      </c>
      <c r="O37" s="166"/>
      <c r="P37" t="str">
        <f>IF('qPCR Run Entry'!M37="","",'qPCR Run Entry'!M37)</f>
        <v/>
      </c>
      <c r="Q37" t="str">
        <f>IF('qPCR Run Entry'!N37="","",'qPCR Run Entry'!N37)</f>
        <v/>
      </c>
      <c r="R37" s="73" t="str">
        <f>IF('qPCR Run Entry'!O37="","",'qPCR Run Entry'!O37)</f>
        <v/>
      </c>
      <c r="S37" t="s">
        <v>68</v>
      </c>
      <c r="T37" t="s">
        <v>67</v>
      </c>
      <c r="U37" s="24"/>
      <c r="V37" s="24"/>
      <c r="W37" s="24"/>
      <c r="X37" s="62" t="str">
        <f>IF('qPCR Run Entry'!U37="","",'qPCR Run Entry'!U37)</f>
        <v/>
      </c>
      <c r="Y37" s="24"/>
      <c r="Z37" s="135">
        <f t="shared" si="2"/>
        <v>0</v>
      </c>
      <c r="AA37" s="110" t="str">
        <f t="shared" si="3"/>
        <v/>
      </c>
      <c r="AC37" s="166"/>
      <c r="AD37" t="str">
        <f>IF('qPCR Run Entry'!X37="","",'qPCR Run Entry'!X37)</f>
        <v/>
      </c>
      <c r="AE37" t="str">
        <f>IF('qPCR Run Entry'!Y37="","",'qPCR Run Entry'!Y37)</f>
        <v/>
      </c>
      <c r="AF37" s="73" t="str">
        <f>IF('qPCR Run Entry'!Z37="","",'qPCR Run Entry'!Z37)</f>
        <v/>
      </c>
      <c r="AG37" t="s">
        <v>68</v>
      </c>
      <c r="AH37" t="s">
        <v>67</v>
      </c>
      <c r="AI37" s="24"/>
      <c r="AJ37" s="24"/>
      <c r="AK37" s="24"/>
      <c r="AL37" s="62" t="str">
        <f>IF('qPCR Run Entry'!AF37="","",'qPCR Run Entry'!AF37)</f>
        <v/>
      </c>
      <c r="AM37" s="24"/>
      <c r="AN37" s="135">
        <f t="shared" si="4"/>
        <v>0</v>
      </c>
      <c r="AO37" s="110" t="str">
        <f t="shared" si="5"/>
        <v/>
      </c>
    </row>
    <row r="38" spans="1:41" ht="17" customHeight="1" x14ac:dyDescent="0.2">
      <c r="A38" s="166">
        <f>'Sample Metadata'!D19</f>
        <v>0</v>
      </c>
      <c r="B38" t="str">
        <f>IF('qPCR Run Entry'!B38="","",'qPCR Run Entry'!B38)</f>
        <v/>
      </c>
      <c r="C38" t="str">
        <f>IF('qPCR Run Entry'!C38="","",'qPCR Run Entry'!C38)</f>
        <v/>
      </c>
      <c r="D38" s="149" t="str">
        <f>IF('qPCR Run Entry'!D38="","",'qPCR Run Entry'!D38)</f>
        <v/>
      </c>
      <c r="E38" t="s">
        <v>68</v>
      </c>
      <c r="F38" t="s">
        <v>67</v>
      </c>
      <c r="G38" s="24"/>
      <c r="H38" s="24"/>
      <c r="I38" s="24"/>
      <c r="J38" s="62" t="str">
        <f>IF('qPCR Run Entry'!J38="","",'qPCR Run Entry'!J38)</f>
        <v/>
      </c>
      <c r="K38" s="24"/>
      <c r="L38" s="135">
        <f t="shared" si="0"/>
        <v>0</v>
      </c>
      <c r="M38" s="110" t="str">
        <f t="shared" si="1"/>
        <v/>
      </c>
      <c r="O38" s="166">
        <f>A38</f>
        <v>0</v>
      </c>
      <c r="P38" t="str">
        <f>IF('qPCR Run Entry'!M38="","",'qPCR Run Entry'!M38)</f>
        <v/>
      </c>
      <c r="Q38" t="str">
        <f>IF('qPCR Run Entry'!N38="","",'qPCR Run Entry'!N38)</f>
        <v/>
      </c>
      <c r="R38" s="73" t="str">
        <f>IF('qPCR Run Entry'!O38="","",'qPCR Run Entry'!O38)</f>
        <v/>
      </c>
      <c r="S38" t="s">
        <v>68</v>
      </c>
      <c r="T38" t="s">
        <v>67</v>
      </c>
      <c r="U38" s="24"/>
      <c r="V38" s="24"/>
      <c r="W38" s="24"/>
      <c r="X38" s="62" t="str">
        <f>IF('qPCR Run Entry'!U38="","",'qPCR Run Entry'!U38)</f>
        <v/>
      </c>
      <c r="Y38" s="24"/>
      <c r="Z38" s="135">
        <f t="shared" si="2"/>
        <v>0</v>
      </c>
      <c r="AA38" s="110" t="str">
        <f t="shared" si="3"/>
        <v/>
      </c>
      <c r="AC38" s="166">
        <f>O38</f>
        <v>0</v>
      </c>
      <c r="AD38" t="str">
        <f>IF('qPCR Run Entry'!X38="","",'qPCR Run Entry'!X38)</f>
        <v/>
      </c>
      <c r="AE38" t="str">
        <f>IF('qPCR Run Entry'!Y38="","",'qPCR Run Entry'!Y38)</f>
        <v/>
      </c>
      <c r="AF38" s="73" t="str">
        <f>IF('qPCR Run Entry'!Z38="","",'qPCR Run Entry'!Z38)</f>
        <v/>
      </c>
      <c r="AG38" t="s">
        <v>68</v>
      </c>
      <c r="AH38" t="s">
        <v>67</v>
      </c>
      <c r="AI38" s="24"/>
      <c r="AJ38" s="24"/>
      <c r="AK38" s="24"/>
      <c r="AL38" s="62" t="str">
        <f>IF('qPCR Run Entry'!AF38="","",'qPCR Run Entry'!AF38)</f>
        <v/>
      </c>
      <c r="AM38" s="24"/>
      <c r="AN38" s="135">
        <f t="shared" si="4"/>
        <v>0</v>
      </c>
      <c r="AO38" s="110" t="str">
        <f t="shared" si="5"/>
        <v/>
      </c>
    </row>
    <row r="39" spans="1:41" ht="17" customHeight="1" x14ac:dyDescent="0.2">
      <c r="A39" s="166"/>
      <c r="B39" t="str">
        <f>IF('qPCR Run Entry'!B39="","",'qPCR Run Entry'!B39)</f>
        <v/>
      </c>
      <c r="C39" t="str">
        <f>IF('qPCR Run Entry'!C39="","",'qPCR Run Entry'!C39)</f>
        <v/>
      </c>
      <c r="D39" s="151"/>
      <c r="E39" t="s">
        <v>68</v>
      </c>
      <c r="F39" t="s">
        <v>67</v>
      </c>
      <c r="G39" s="24"/>
      <c r="H39" s="24"/>
      <c r="I39" s="24"/>
      <c r="J39" s="62" t="str">
        <f>IF('qPCR Run Entry'!J39="","",'qPCR Run Entry'!J39)</f>
        <v/>
      </c>
      <c r="K39" s="24"/>
      <c r="L39" s="135">
        <f t="shared" si="0"/>
        <v>0</v>
      </c>
      <c r="M39" s="110" t="str">
        <f t="shared" si="1"/>
        <v/>
      </c>
      <c r="O39" s="166"/>
      <c r="P39" t="str">
        <f>IF('qPCR Run Entry'!M39="","",'qPCR Run Entry'!M39)</f>
        <v/>
      </c>
      <c r="Q39" t="str">
        <f>IF('qPCR Run Entry'!N39="","",'qPCR Run Entry'!N39)</f>
        <v/>
      </c>
      <c r="R39" s="73" t="str">
        <f>IF('qPCR Run Entry'!O39="","",'qPCR Run Entry'!O39)</f>
        <v/>
      </c>
      <c r="S39" t="s">
        <v>68</v>
      </c>
      <c r="T39" t="s">
        <v>67</v>
      </c>
      <c r="U39" s="24"/>
      <c r="V39" s="24"/>
      <c r="W39" s="24"/>
      <c r="X39" s="62" t="str">
        <f>IF('qPCR Run Entry'!U39="","",'qPCR Run Entry'!U39)</f>
        <v/>
      </c>
      <c r="Y39" s="24"/>
      <c r="Z39" s="135">
        <f t="shared" si="2"/>
        <v>0</v>
      </c>
      <c r="AA39" s="110" t="str">
        <f t="shared" si="3"/>
        <v/>
      </c>
      <c r="AC39" s="166"/>
      <c r="AD39" t="str">
        <f>IF('qPCR Run Entry'!X39="","",'qPCR Run Entry'!X39)</f>
        <v/>
      </c>
      <c r="AE39" t="str">
        <f>IF('qPCR Run Entry'!Y39="","",'qPCR Run Entry'!Y39)</f>
        <v/>
      </c>
      <c r="AF39" s="73" t="str">
        <f>IF('qPCR Run Entry'!Z39="","",'qPCR Run Entry'!Z39)</f>
        <v/>
      </c>
      <c r="AG39" t="s">
        <v>68</v>
      </c>
      <c r="AH39" t="s">
        <v>67</v>
      </c>
      <c r="AI39" s="24"/>
      <c r="AJ39" s="24"/>
      <c r="AK39" s="24"/>
      <c r="AL39" s="62" t="str">
        <f>IF('qPCR Run Entry'!AF39="","",'qPCR Run Entry'!AF39)</f>
        <v/>
      </c>
      <c r="AM39" s="24"/>
      <c r="AN39" s="135">
        <f t="shared" si="4"/>
        <v>0</v>
      </c>
      <c r="AO39" s="110" t="str">
        <f t="shared" si="5"/>
        <v/>
      </c>
    </row>
    <row r="40" spans="1:41" ht="17" customHeight="1" x14ac:dyDescent="0.2">
      <c r="A40" s="166">
        <f>'Sample Metadata'!D20</f>
        <v>0</v>
      </c>
      <c r="B40" t="str">
        <f>IF('qPCR Run Entry'!B40="","",'qPCR Run Entry'!B40)</f>
        <v/>
      </c>
      <c r="C40" t="str">
        <f>IF('qPCR Run Entry'!C40="","",'qPCR Run Entry'!C40)</f>
        <v/>
      </c>
      <c r="D40" s="149" t="str">
        <f>IF('qPCR Run Entry'!D40="","",'qPCR Run Entry'!D40)</f>
        <v/>
      </c>
      <c r="E40" t="s">
        <v>68</v>
      </c>
      <c r="F40" t="s">
        <v>67</v>
      </c>
      <c r="G40" s="24"/>
      <c r="H40" s="24"/>
      <c r="I40" s="24"/>
      <c r="J40" s="62" t="str">
        <f>IF('qPCR Run Entry'!J40="","",'qPCR Run Entry'!J40)</f>
        <v/>
      </c>
      <c r="K40" s="24"/>
      <c r="L40" s="135">
        <f t="shared" si="0"/>
        <v>0</v>
      </c>
      <c r="M40" s="110" t="str">
        <f t="shared" si="1"/>
        <v/>
      </c>
      <c r="O40" s="166">
        <f>A40</f>
        <v>0</v>
      </c>
      <c r="P40" t="str">
        <f>IF('qPCR Run Entry'!M40="","",'qPCR Run Entry'!M40)</f>
        <v/>
      </c>
      <c r="Q40" t="str">
        <f>IF('qPCR Run Entry'!N40="","",'qPCR Run Entry'!N40)</f>
        <v/>
      </c>
      <c r="R40" s="73" t="str">
        <f>IF('qPCR Run Entry'!O40="","",'qPCR Run Entry'!O40)</f>
        <v/>
      </c>
      <c r="S40" t="s">
        <v>68</v>
      </c>
      <c r="T40" t="s">
        <v>67</v>
      </c>
      <c r="U40" s="24"/>
      <c r="V40" s="24"/>
      <c r="W40" s="24"/>
      <c r="X40" s="62" t="str">
        <f>IF('qPCR Run Entry'!U40="","",'qPCR Run Entry'!U40)</f>
        <v/>
      </c>
      <c r="Y40" s="24"/>
      <c r="Z40" s="135">
        <f t="shared" si="2"/>
        <v>0</v>
      </c>
      <c r="AA40" s="110" t="str">
        <f t="shared" si="3"/>
        <v/>
      </c>
      <c r="AC40" s="166">
        <f>O40</f>
        <v>0</v>
      </c>
      <c r="AD40" t="str">
        <f>IF('qPCR Run Entry'!X40="","",'qPCR Run Entry'!X40)</f>
        <v/>
      </c>
      <c r="AE40" t="str">
        <f>IF('qPCR Run Entry'!Y40="","",'qPCR Run Entry'!Y40)</f>
        <v/>
      </c>
      <c r="AF40" s="73" t="str">
        <f>IF('qPCR Run Entry'!Z40="","",'qPCR Run Entry'!Z40)</f>
        <v/>
      </c>
      <c r="AG40" t="s">
        <v>68</v>
      </c>
      <c r="AH40" t="s">
        <v>67</v>
      </c>
      <c r="AI40" s="24"/>
      <c r="AJ40" s="24"/>
      <c r="AK40" s="24"/>
      <c r="AL40" s="62" t="str">
        <f>IF('qPCR Run Entry'!AF40="","",'qPCR Run Entry'!AF40)</f>
        <v/>
      </c>
      <c r="AM40" s="24"/>
      <c r="AN40" s="135">
        <f t="shared" si="4"/>
        <v>0</v>
      </c>
      <c r="AO40" s="110" t="str">
        <f t="shared" si="5"/>
        <v/>
      </c>
    </row>
    <row r="41" spans="1:41" ht="17" customHeight="1" x14ac:dyDescent="0.2">
      <c r="A41" s="166"/>
      <c r="B41" t="str">
        <f>IF('qPCR Run Entry'!B41="","",'qPCR Run Entry'!B41)</f>
        <v/>
      </c>
      <c r="C41" t="str">
        <f>IF('qPCR Run Entry'!C41="","",'qPCR Run Entry'!C41)</f>
        <v/>
      </c>
      <c r="D41" s="151"/>
      <c r="E41" t="s">
        <v>68</v>
      </c>
      <c r="F41" t="s">
        <v>67</v>
      </c>
      <c r="G41" s="24"/>
      <c r="H41" s="24"/>
      <c r="I41" s="24"/>
      <c r="J41" s="62" t="str">
        <f>IF('qPCR Run Entry'!J41="","",'qPCR Run Entry'!J41)</f>
        <v/>
      </c>
      <c r="K41" s="24"/>
      <c r="L41" s="135">
        <f t="shared" si="0"/>
        <v>0</v>
      </c>
      <c r="M41" s="110" t="str">
        <f t="shared" si="1"/>
        <v/>
      </c>
      <c r="O41" s="166"/>
      <c r="P41" t="str">
        <f>IF('qPCR Run Entry'!M41="","",'qPCR Run Entry'!M41)</f>
        <v/>
      </c>
      <c r="Q41" t="str">
        <f>IF('qPCR Run Entry'!N41="","",'qPCR Run Entry'!N41)</f>
        <v/>
      </c>
      <c r="R41" s="73" t="str">
        <f>IF('qPCR Run Entry'!O41="","",'qPCR Run Entry'!O41)</f>
        <v/>
      </c>
      <c r="S41" t="s">
        <v>68</v>
      </c>
      <c r="T41" t="s">
        <v>67</v>
      </c>
      <c r="U41" s="24"/>
      <c r="V41" s="24"/>
      <c r="W41" s="24"/>
      <c r="X41" s="62" t="str">
        <f>IF('qPCR Run Entry'!U41="","",'qPCR Run Entry'!U41)</f>
        <v/>
      </c>
      <c r="Y41" s="24"/>
      <c r="Z41" s="135">
        <f t="shared" si="2"/>
        <v>0</v>
      </c>
      <c r="AA41" s="110" t="str">
        <f t="shared" si="3"/>
        <v/>
      </c>
      <c r="AC41" s="166"/>
      <c r="AD41" t="str">
        <f>IF('qPCR Run Entry'!X41="","",'qPCR Run Entry'!X41)</f>
        <v/>
      </c>
      <c r="AE41" t="str">
        <f>IF('qPCR Run Entry'!Y41="","",'qPCR Run Entry'!Y41)</f>
        <v/>
      </c>
      <c r="AF41" s="73" t="str">
        <f>IF('qPCR Run Entry'!Z41="","",'qPCR Run Entry'!Z41)</f>
        <v/>
      </c>
      <c r="AG41" t="s">
        <v>68</v>
      </c>
      <c r="AH41" t="s">
        <v>67</v>
      </c>
      <c r="AI41" s="24"/>
      <c r="AJ41" s="24"/>
      <c r="AK41" s="24"/>
      <c r="AL41" s="62" t="str">
        <f>IF('qPCR Run Entry'!AF41="","",'qPCR Run Entry'!AF41)</f>
        <v/>
      </c>
      <c r="AM41" s="24"/>
      <c r="AN41" s="135">
        <f t="shared" si="4"/>
        <v>0</v>
      </c>
      <c r="AO41" s="110" t="str">
        <f t="shared" si="5"/>
        <v/>
      </c>
    </row>
    <row r="42" spans="1:41" ht="17" customHeight="1" x14ac:dyDescent="0.2">
      <c r="A42" s="166">
        <f>'Sample Metadata'!D21</f>
        <v>0</v>
      </c>
      <c r="B42" t="str">
        <f>IF('qPCR Run Entry'!B42="","",'qPCR Run Entry'!B42)</f>
        <v/>
      </c>
      <c r="C42" t="str">
        <f>IF('qPCR Run Entry'!C42="","",'qPCR Run Entry'!C42)</f>
        <v/>
      </c>
      <c r="D42" s="149" t="str">
        <f>IF('qPCR Run Entry'!D42="","",'qPCR Run Entry'!D42)</f>
        <v/>
      </c>
      <c r="E42" t="s">
        <v>68</v>
      </c>
      <c r="F42" t="s">
        <v>67</v>
      </c>
      <c r="G42" s="24"/>
      <c r="H42" s="24"/>
      <c r="I42" s="24"/>
      <c r="J42" s="62" t="str">
        <f>IF('qPCR Run Entry'!J42="","",'qPCR Run Entry'!J42)</f>
        <v/>
      </c>
      <c r="K42" s="24"/>
      <c r="L42" s="135">
        <f t="shared" si="0"/>
        <v>0</v>
      </c>
      <c r="M42" s="110" t="str">
        <f t="shared" si="1"/>
        <v/>
      </c>
      <c r="O42" s="166">
        <f>A42</f>
        <v>0</v>
      </c>
      <c r="P42" t="str">
        <f>IF('qPCR Run Entry'!M42="","",'qPCR Run Entry'!M42)</f>
        <v/>
      </c>
      <c r="Q42" t="str">
        <f>IF('qPCR Run Entry'!N42="","",'qPCR Run Entry'!N42)</f>
        <v/>
      </c>
      <c r="R42" s="73" t="str">
        <f>IF('qPCR Run Entry'!O42="","",'qPCR Run Entry'!O42)</f>
        <v/>
      </c>
      <c r="S42" t="s">
        <v>68</v>
      </c>
      <c r="T42" t="s">
        <v>67</v>
      </c>
      <c r="U42" s="24"/>
      <c r="V42" s="24"/>
      <c r="W42" s="24"/>
      <c r="X42" s="62" t="str">
        <f>IF('qPCR Run Entry'!U42="","",'qPCR Run Entry'!U42)</f>
        <v/>
      </c>
      <c r="Y42" s="24"/>
      <c r="Z42" s="135">
        <f t="shared" si="2"/>
        <v>0</v>
      </c>
      <c r="AA42" s="110" t="str">
        <f t="shared" si="3"/>
        <v/>
      </c>
      <c r="AC42" s="166">
        <f>O42</f>
        <v>0</v>
      </c>
      <c r="AD42" t="str">
        <f>IF('qPCR Run Entry'!X42="","",'qPCR Run Entry'!X42)</f>
        <v/>
      </c>
      <c r="AE42" t="str">
        <f>IF('qPCR Run Entry'!Y42="","",'qPCR Run Entry'!Y42)</f>
        <v/>
      </c>
      <c r="AF42" s="73" t="str">
        <f>IF('qPCR Run Entry'!Z42="","",'qPCR Run Entry'!Z42)</f>
        <v/>
      </c>
      <c r="AG42" t="s">
        <v>68</v>
      </c>
      <c r="AH42" t="s">
        <v>67</v>
      </c>
      <c r="AI42" s="24"/>
      <c r="AJ42" s="24"/>
      <c r="AK42" s="24"/>
      <c r="AL42" s="62" t="str">
        <f>IF('qPCR Run Entry'!AF42="","",'qPCR Run Entry'!AF42)</f>
        <v/>
      </c>
      <c r="AM42" s="24"/>
      <c r="AN42" s="135">
        <f t="shared" si="4"/>
        <v>0</v>
      </c>
      <c r="AO42" s="110" t="str">
        <f t="shared" si="5"/>
        <v/>
      </c>
    </row>
    <row r="43" spans="1:41" ht="17" customHeight="1" x14ac:dyDescent="0.2">
      <c r="A43" s="166"/>
      <c r="B43" t="str">
        <f>IF('qPCR Run Entry'!B43="","",'qPCR Run Entry'!B43)</f>
        <v/>
      </c>
      <c r="C43" t="str">
        <f>IF('qPCR Run Entry'!C43="","",'qPCR Run Entry'!C43)</f>
        <v/>
      </c>
      <c r="D43" s="151"/>
      <c r="E43" t="s">
        <v>68</v>
      </c>
      <c r="F43" t="s">
        <v>67</v>
      </c>
      <c r="G43" s="24"/>
      <c r="H43" s="24"/>
      <c r="I43" s="24"/>
      <c r="J43" s="62" t="str">
        <f>IF('qPCR Run Entry'!J43="","",'qPCR Run Entry'!J43)</f>
        <v/>
      </c>
      <c r="K43" s="24"/>
      <c r="L43" s="135">
        <f t="shared" si="0"/>
        <v>0</v>
      </c>
      <c r="M43" s="110" t="str">
        <f t="shared" si="1"/>
        <v/>
      </c>
      <c r="O43" s="166"/>
      <c r="P43" t="str">
        <f>IF('qPCR Run Entry'!M43="","",'qPCR Run Entry'!M43)</f>
        <v/>
      </c>
      <c r="Q43" t="str">
        <f>IF('qPCR Run Entry'!N43="","",'qPCR Run Entry'!N43)</f>
        <v/>
      </c>
      <c r="R43" s="73" t="str">
        <f>IF('qPCR Run Entry'!O43="","",'qPCR Run Entry'!O43)</f>
        <v/>
      </c>
      <c r="S43" t="s">
        <v>68</v>
      </c>
      <c r="T43" t="s">
        <v>67</v>
      </c>
      <c r="U43" s="24"/>
      <c r="V43" s="24"/>
      <c r="W43" s="24"/>
      <c r="X43" s="62" t="str">
        <f>IF('qPCR Run Entry'!U43="","",'qPCR Run Entry'!U43)</f>
        <v/>
      </c>
      <c r="Y43" s="24"/>
      <c r="Z43" s="135">
        <f t="shared" si="2"/>
        <v>0</v>
      </c>
      <c r="AA43" s="110" t="str">
        <f t="shared" si="3"/>
        <v/>
      </c>
      <c r="AC43" s="166"/>
      <c r="AD43" t="str">
        <f>IF('qPCR Run Entry'!X43="","",'qPCR Run Entry'!X43)</f>
        <v/>
      </c>
      <c r="AE43" t="str">
        <f>IF('qPCR Run Entry'!Y43="","",'qPCR Run Entry'!Y43)</f>
        <v/>
      </c>
      <c r="AF43" s="73" t="str">
        <f>IF('qPCR Run Entry'!Z43="","",'qPCR Run Entry'!Z43)</f>
        <v/>
      </c>
      <c r="AG43" t="s">
        <v>68</v>
      </c>
      <c r="AH43" t="s">
        <v>67</v>
      </c>
      <c r="AI43" s="24"/>
      <c r="AJ43" s="24"/>
      <c r="AK43" s="24"/>
      <c r="AL43" s="62" t="str">
        <f>IF('qPCR Run Entry'!AF43="","",'qPCR Run Entry'!AF43)</f>
        <v/>
      </c>
      <c r="AM43" s="24"/>
      <c r="AN43" s="135">
        <f t="shared" si="4"/>
        <v>0</v>
      </c>
      <c r="AO43" s="110" t="str">
        <f t="shared" si="5"/>
        <v/>
      </c>
    </row>
    <row r="44" spans="1:41" ht="17" customHeight="1" x14ac:dyDescent="0.2">
      <c r="A44" s="166">
        <f>'Sample Metadata'!D22</f>
        <v>0</v>
      </c>
      <c r="B44" t="str">
        <f>IF('qPCR Run Entry'!B44="","",'qPCR Run Entry'!B44)</f>
        <v/>
      </c>
      <c r="C44" t="str">
        <f>IF('qPCR Run Entry'!C44="","",'qPCR Run Entry'!C44)</f>
        <v/>
      </c>
      <c r="D44" s="149" t="str">
        <f>IF('qPCR Run Entry'!D44="","",'qPCR Run Entry'!D44)</f>
        <v/>
      </c>
      <c r="E44" t="s">
        <v>68</v>
      </c>
      <c r="F44" t="s">
        <v>67</v>
      </c>
      <c r="G44" s="24"/>
      <c r="H44" s="24"/>
      <c r="I44" s="24"/>
      <c r="J44" s="62" t="str">
        <f>IF('qPCR Run Entry'!J44="","",'qPCR Run Entry'!J44)</f>
        <v/>
      </c>
      <c r="K44" s="24"/>
      <c r="L44" s="135">
        <f t="shared" si="0"/>
        <v>0</v>
      </c>
      <c r="M44" s="110" t="str">
        <f t="shared" si="1"/>
        <v/>
      </c>
      <c r="O44" s="166">
        <f>A44</f>
        <v>0</v>
      </c>
      <c r="P44" t="str">
        <f>IF('qPCR Run Entry'!M44="","",'qPCR Run Entry'!M44)</f>
        <v/>
      </c>
      <c r="Q44" t="str">
        <f>IF('qPCR Run Entry'!N44="","",'qPCR Run Entry'!N44)</f>
        <v/>
      </c>
      <c r="R44" s="73" t="str">
        <f>IF('qPCR Run Entry'!O44="","",'qPCR Run Entry'!O44)</f>
        <v/>
      </c>
      <c r="S44" t="s">
        <v>68</v>
      </c>
      <c r="T44" t="s">
        <v>67</v>
      </c>
      <c r="U44" s="24"/>
      <c r="V44" s="24"/>
      <c r="W44" s="24"/>
      <c r="X44" s="62" t="str">
        <f>IF('qPCR Run Entry'!U44="","",'qPCR Run Entry'!U44)</f>
        <v/>
      </c>
      <c r="Y44" s="24"/>
      <c r="Z44" s="135">
        <f t="shared" si="2"/>
        <v>0</v>
      </c>
      <c r="AA44" s="110" t="str">
        <f t="shared" si="3"/>
        <v/>
      </c>
      <c r="AC44" s="166">
        <f>O44</f>
        <v>0</v>
      </c>
      <c r="AD44" t="str">
        <f>IF('qPCR Run Entry'!X44="","",'qPCR Run Entry'!X44)</f>
        <v/>
      </c>
      <c r="AE44" t="str">
        <f>IF('qPCR Run Entry'!Y44="","",'qPCR Run Entry'!Y44)</f>
        <v/>
      </c>
      <c r="AF44" s="73" t="str">
        <f>IF('qPCR Run Entry'!Z44="","",'qPCR Run Entry'!Z44)</f>
        <v/>
      </c>
      <c r="AG44" t="s">
        <v>68</v>
      </c>
      <c r="AH44" t="s">
        <v>67</v>
      </c>
      <c r="AI44" s="24"/>
      <c r="AJ44" s="24"/>
      <c r="AK44" s="24"/>
      <c r="AL44" s="62" t="str">
        <f>IF('qPCR Run Entry'!AF44="","",'qPCR Run Entry'!AF44)</f>
        <v/>
      </c>
      <c r="AM44" s="24"/>
      <c r="AN44" s="135">
        <f t="shared" si="4"/>
        <v>0</v>
      </c>
      <c r="AO44" s="110" t="str">
        <f t="shared" si="5"/>
        <v/>
      </c>
    </row>
    <row r="45" spans="1:41" ht="17" customHeight="1" x14ac:dyDescent="0.2">
      <c r="A45" s="166"/>
      <c r="B45" t="str">
        <f>IF('qPCR Run Entry'!B45="","",'qPCR Run Entry'!B45)</f>
        <v/>
      </c>
      <c r="C45" t="str">
        <f>IF('qPCR Run Entry'!C45="","",'qPCR Run Entry'!C45)</f>
        <v/>
      </c>
      <c r="D45" s="151"/>
      <c r="E45" t="s">
        <v>68</v>
      </c>
      <c r="F45" t="s">
        <v>67</v>
      </c>
      <c r="G45" s="24"/>
      <c r="H45" s="24"/>
      <c r="I45" s="24"/>
      <c r="J45" s="62" t="str">
        <f>IF('qPCR Run Entry'!J45="","",'qPCR Run Entry'!J45)</f>
        <v/>
      </c>
      <c r="K45" s="24"/>
      <c r="L45" s="135">
        <f t="shared" si="0"/>
        <v>0</v>
      </c>
      <c r="M45" s="110" t="str">
        <f t="shared" si="1"/>
        <v/>
      </c>
      <c r="O45" s="166"/>
      <c r="P45" t="str">
        <f>IF('qPCR Run Entry'!M45="","",'qPCR Run Entry'!M45)</f>
        <v/>
      </c>
      <c r="Q45" t="str">
        <f>IF('qPCR Run Entry'!N45="","",'qPCR Run Entry'!N45)</f>
        <v/>
      </c>
      <c r="R45" s="73" t="str">
        <f>IF('qPCR Run Entry'!O45="","",'qPCR Run Entry'!O45)</f>
        <v/>
      </c>
      <c r="S45" t="s">
        <v>68</v>
      </c>
      <c r="T45" t="s">
        <v>67</v>
      </c>
      <c r="U45" s="24"/>
      <c r="V45" s="24"/>
      <c r="W45" s="24"/>
      <c r="X45" s="62" t="str">
        <f>IF('qPCR Run Entry'!U45="","",'qPCR Run Entry'!U45)</f>
        <v/>
      </c>
      <c r="Y45" s="24"/>
      <c r="Z45" s="135">
        <f t="shared" si="2"/>
        <v>0</v>
      </c>
      <c r="AA45" s="110" t="str">
        <f t="shared" si="3"/>
        <v/>
      </c>
      <c r="AC45" s="166"/>
      <c r="AD45" t="str">
        <f>IF('qPCR Run Entry'!X45="","",'qPCR Run Entry'!X45)</f>
        <v/>
      </c>
      <c r="AE45" t="str">
        <f>IF('qPCR Run Entry'!Y45="","",'qPCR Run Entry'!Y45)</f>
        <v/>
      </c>
      <c r="AF45" s="73" t="str">
        <f>IF('qPCR Run Entry'!Z45="","",'qPCR Run Entry'!Z45)</f>
        <v/>
      </c>
      <c r="AG45" t="s">
        <v>68</v>
      </c>
      <c r="AH45" t="s">
        <v>67</v>
      </c>
      <c r="AI45" s="24"/>
      <c r="AJ45" s="24"/>
      <c r="AK45" s="24"/>
      <c r="AL45" s="62" t="str">
        <f>IF('qPCR Run Entry'!AF45="","",'qPCR Run Entry'!AF45)</f>
        <v/>
      </c>
      <c r="AM45" s="24"/>
      <c r="AN45" s="135">
        <f t="shared" si="4"/>
        <v>0</v>
      </c>
      <c r="AO45" s="110" t="str">
        <f t="shared" si="5"/>
        <v/>
      </c>
    </row>
    <row r="46" spans="1:41" ht="17" customHeight="1" x14ac:dyDescent="0.2">
      <c r="A46" s="166">
        <f>'Sample Metadata'!D23</f>
        <v>0</v>
      </c>
      <c r="B46" t="str">
        <f>IF('qPCR Run Entry'!B46="","",'qPCR Run Entry'!B46)</f>
        <v/>
      </c>
      <c r="C46" t="str">
        <f>IF('qPCR Run Entry'!C46="","",'qPCR Run Entry'!C46)</f>
        <v/>
      </c>
      <c r="D46" s="149" t="str">
        <f>IF('qPCR Run Entry'!D46="","",'qPCR Run Entry'!D46)</f>
        <v/>
      </c>
      <c r="E46" t="s">
        <v>68</v>
      </c>
      <c r="F46" t="s">
        <v>67</v>
      </c>
      <c r="G46" s="24"/>
      <c r="H46" s="24"/>
      <c r="I46" s="24"/>
      <c r="J46" s="62" t="str">
        <f>IF('qPCR Run Entry'!J46="","",'qPCR Run Entry'!J46)</f>
        <v/>
      </c>
      <c r="K46" s="24"/>
      <c r="L46" s="135">
        <f t="shared" si="0"/>
        <v>0</v>
      </c>
      <c r="M46" s="110" t="str">
        <f t="shared" si="1"/>
        <v/>
      </c>
      <c r="O46" s="166">
        <f>A46</f>
        <v>0</v>
      </c>
      <c r="P46" t="str">
        <f>IF('qPCR Run Entry'!M46="","",'qPCR Run Entry'!M46)</f>
        <v/>
      </c>
      <c r="Q46" t="str">
        <f>IF('qPCR Run Entry'!N46="","",'qPCR Run Entry'!N46)</f>
        <v/>
      </c>
      <c r="R46" s="73" t="str">
        <f>IF('qPCR Run Entry'!O46="","",'qPCR Run Entry'!O46)</f>
        <v/>
      </c>
      <c r="S46" t="s">
        <v>68</v>
      </c>
      <c r="T46" t="s">
        <v>67</v>
      </c>
      <c r="U46" s="24"/>
      <c r="V46" s="24"/>
      <c r="W46" s="24"/>
      <c r="X46" s="62" t="str">
        <f>IF('qPCR Run Entry'!U46="","",'qPCR Run Entry'!U46)</f>
        <v/>
      </c>
      <c r="Y46" s="24"/>
      <c r="Z46" s="135">
        <f t="shared" si="2"/>
        <v>0</v>
      </c>
      <c r="AA46" s="110" t="str">
        <f t="shared" si="3"/>
        <v/>
      </c>
      <c r="AC46" s="166">
        <f>O46</f>
        <v>0</v>
      </c>
      <c r="AD46" t="str">
        <f>IF('qPCR Run Entry'!X46="","",'qPCR Run Entry'!X46)</f>
        <v/>
      </c>
      <c r="AE46" t="str">
        <f>IF('qPCR Run Entry'!Y46="","",'qPCR Run Entry'!Y46)</f>
        <v/>
      </c>
      <c r="AF46" s="73" t="str">
        <f>IF('qPCR Run Entry'!Z46="","",'qPCR Run Entry'!Z46)</f>
        <v/>
      </c>
      <c r="AG46" t="s">
        <v>68</v>
      </c>
      <c r="AH46" t="s">
        <v>67</v>
      </c>
      <c r="AI46" s="24"/>
      <c r="AJ46" s="24"/>
      <c r="AK46" s="24"/>
      <c r="AL46" s="62" t="str">
        <f>IF('qPCR Run Entry'!AF46="","",'qPCR Run Entry'!AF46)</f>
        <v/>
      </c>
      <c r="AM46" s="24"/>
      <c r="AN46" s="135">
        <f t="shared" si="4"/>
        <v>0</v>
      </c>
      <c r="AO46" s="110" t="str">
        <f t="shared" si="5"/>
        <v/>
      </c>
    </row>
    <row r="47" spans="1:41" ht="17" customHeight="1" x14ac:dyDescent="0.2">
      <c r="A47" s="166"/>
      <c r="B47" t="str">
        <f>IF('qPCR Run Entry'!B47="","",'qPCR Run Entry'!B47)</f>
        <v/>
      </c>
      <c r="C47" t="str">
        <f>IF('qPCR Run Entry'!C47="","",'qPCR Run Entry'!C47)</f>
        <v/>
      </c>
      <c r="D47" s="151"/>
      <c r="E47" t="s">
        <v>68</v>
      </c>
      <c r="F47" t="s">
        <v>67</v>
      </c>
      <c r="G47" s="24"/>
      <c r="H47" s="24"/>
      <c r="I47" s="24"/>
      <c r="J47" s="62" t="str">
        <f>IF('qPCR Run Entry'!J47="","",'qPCR Run Entry'!J47)</f>
        <v/>
      </c>
      <c r="K47" s="24"/>
      <c r="L47" s="135">
        <f t="shared" si="0"/>
        <v>0</v>
      </c>
      <c r="M47" s="110" t="str">
        <f t="shared" si="1"/>
        <v/>
      </c>
      <c r="O47" s="166"/>
      <c r="P47" t="str">
        <f>IF('qPCR Run Entry'!M47="","",'qPCR Run Entry'!M47)</f>
        <v/>
      </c>
      <c r="Q47" t="str">
        <f>IF('qPCR Run Entry'!N47="","",'qPCR Run Entry'!N47)</f>
        <v/>
      </c>
      <c r="R47" s="73" t="str">
        <f>IF('qPCR Run Entry'!O47="","",'qPCR Run Entry'!O47)</f>
        <v/>
      </c>
      <c r="S47" t="s">
        <v>68</v>
      </c>
      <c r="T47" t="s">
        <v>67</v>
      </c>
      <c r="U47" s="24"/>
      <c r="V47" s="24"/>
      <c r="W47" s="24"/>
      <c r="X47" s="62" t="str">
        <f>IF('qPCR Run Entry'!U47="","",'qPCR Run Entry'!U47)</f>
        <v/>
      </c>
      <c r="Y47" s="24"/>
      <c r="Z47" s="135">
        <f t="shared" si="2"/>
        <v>0</v>
      </c>
      <c r="AA47" s="110" t="str">
        <f t="shared" si="3"/>
        <v/>
      </c>
      <c r="AC47" s="166"/>
      <c r="AD47" t="str">
        <f>IF('qPCR Run Entry'!X47="","",'qPCR Run Entry'!X47)</f>
        <v/>
      </c>
      <c r="AE47" t="str">
        <f>IF('qPCR Run Entry'!Y47="","",'qPCR Run Entry'!Y47)</f>
        <v/>
      </c>
      <c r="AF47" s="73" t="str">
        <f>IF('qPCR Run Entry'!Z47="","",'qPCR Run Entry'!Z47)</f>
        <v/>
      </c>
      <c r="AG47" t="s">
        <v>68</v>
      </c>
      <c r="AH47" t="s">
        <v>67</v>
      </c>
      <c r="AI47" s="24"/>
      <c r="AJ47" s="24"/>
      <c r="AK47" s="24"/>
      <c r="AL47" s="62" t="str">
        <f>IF('qPCR Run Entry'!AF47="","",'qPCR Run Entry'!AF47)</f>
        <v/>
      </c>
      <c r="AM47" s="24"/>
      <c r="AN47" s="135">
        <f t="shared" si="4"/>
        <v>0</v>
      </c>
      <c r="AO47" s="110" t="str">
        <f t="shared" si="5"/>
        <v/>
      </c>
    </row>
    <row r="48" spans="1:41" ht="17" customHeight="1" x14ac:dyDescent="0.2">
      <c r="A48" s="166">
        <f>'Sample Metadata'!D24</f>
        <v>0</v>
      </c>
      <c r="B48" t="str">
        <f>IF('qPCR Run Entry'!B48="","",'qPCR Run Entry'!B48)</f>
        <v/>
      </c>
      <c r="C48" t="str">
        <f>IF('qPCR Run Entry'!C48="","",'qPCR Run Entry'!C48)</f>
        <v/>
      </c>
      <c r="D48" s="149" t="str">
        <f>IF('qPCR Run Entry'!D48="","",'qPCR Run Entry'!D48)</f>
        <v/>
      </c>
      <c r="E48" t="s">
        <v>68</v>
      </c>
      <c r="F48" t="s">
        <v>67</v>
      </c>
      <c r="G48" s="24"/>
      <c r="H48" s="24"/>
      <c r="I48" s="24"/>
      <c r="J48" s="62" t="str">
        <f>IF('qPCR Run Entry'!J48="","",'qPCR Run Entry'!J48)</f>
        <v/>
      </c>
      <c r="K48" s="24"/>
      <c r="L48" s="135">
        <f t="shared" si="0"/>
        <v>0</v>
      </c>
      <c r="M48" s="110" t="str">
        <f t="shared" si="1"/>
        <v/>
      </c>
      <c r="O48" s="166">
        <f>A48</f>
        <v>0</v>
      </c>
      <c r="P48" t="str">
        <f>IF('qPCR Run Entry'!M48="","",'qPCR Run Entry'!M48)</f>
        <v/>
      </c>
      <c r="Q48" t="str">
        <f>IF('qPCR Run Entry'!N48="","",'qPCR Run Entry'!N48)</f>
        <v/>
      </c>
      <c r="R48" s="73" t="str">
        <f>IF('qPCR Run Entry'!O48="","",'qPCR Run Entry'!O48)</f>
        <v/>
      </c>
      <c r="S48" t="s">
        <v>68</v>
      </c>
      <c r="T48" t="s">
        <v>67</v>
      </c>
      <c r="U48" s="24"/>
      <c r="V48" s="24"/>
      <c r="W48" s="24"/>
      <c r="X48" s="62" t="str">
        <f>IF('qPCR Run Entry'!U48="","",'qPCR Run Entry'!U48)</f>
        <v/>
      </c>
      <c r="Y48" s="24"/>
      <c r="Z48" s="135">
        <f t="shared" si="2"/>
        <v>0</v>
      </c>
      <c r="AA48" s="110" t="str">
        <f t="shared" si="3"/>
        <v/>
      </c>
      <c r="AC48" s="166">
        <f>O48</f>
        <v>0</v>
      </c>
      <c r="AD48" t="str">
        <f>IF('qPCR Run Entry'!X48="","",'qPCR Run Entry'!X48)</f>
        <v/>
      </c>
      <c r="AE48" t="str">
        <f>IF('qPCR Run Entry'!Y48="","",'qPCR Run Entry'!Y48)</f>
        <v/>
      </c>
      <c r="AF48" s="73" t="str">
        <f>IF('qPCR Run Entry'!Z48="","",'qPCR Run Entry'!Z48)</f>
        <v/>
      </c>
      <c r="AG48" t="s">
        <v>68</v>
      </c>
      <c r="AH48" t="s">
        <v>67</v>
      </c>
      <c r="AI48" s="24"/>
      <c r="AJ48" s="24"/>
      <c r="AK48" s="24"/>
      <c r="AL48" s="62" t="str">
        <f>IF('qPCR Run Entry'!AF48="","",'qPCR Run Entry'!AF48)</f>
        <v/>
      </c>
      <c r="AM48" s="24"/>
      <c r="AN48" s="135">
        <f t="shared" si="4"/>
        <v>0</v>
      </c>
      <c r="AO48" s="110" t="str">
        <f t="shared" si="5"/>
        <v/>
      </c>
    </row>
    <row r="49" spans="1:41" ht="17" customHeight="1" x14ac:dyDescent="0.2">
      <c r="A49" s="166"/>
      <c r="B49" t="str">
        <f>IF('qPCR Run Entry'!B49="","",'qPCR Run Entry'!B49)</f>
        <v/>
      </c>
      <c r="C49" t="str">
        <f>IF('qPCR Run Entry'!C49="","",'qPCR Run Entry'!C49)</f>
        <v/>
      </c>
      <c r="D49" s="151"/>
      <c r="E49" t="s">
        <v>68</v>
      </c>
      <c r="F49" t="s">
        <v>67</v>
      </c>
      <c r="G49" s="24"/>
      <c r="H49" s="24"/>
      <c r="I49" s="24"/>
      <c r="J49" s="62" t="str">
        <f>IF('qPCR Run Entry'!J49="","",'qPCR Run Entry'!J49)</f>
        <v/>
      </c>
      <c r="K49" s="24"/>
      <c r="L49" s="135">
        <f t="shared" si="0"/>
        <v>0</v>
      </c>
      <c r="M49" s="110" t="str">
        <f t="shared" si="1"/>
        <v/>
      </c>
      <c r="O49" s="166"/>
      <c r="P49" t="str">
        <f>IF('qPCR Run Entry'!M49="","",'qPCR Run Entry'!M49)</f>
        <v/>
      </c>
      <c r="Q49" t="str">
        <f>IF('qPCR Run Entry'!N49="","",'qPCR Run Entry'!N49)</f>
        <v/>
      </c>
      <c r="R49" s="73" t="str">
        <f>IF('qPCR Run Entry'!O49="","",'qPCR Run Entry'!O49)</f>
        <v/>
      </c>
      <c r="S49" t="s">
        <v>68</v>
      </c>
      <c r="T49" t="s">
        <v>67</v>
      </c>
      <c r="U49" s="24"/>
      <c r="V49" s="24"/>
      <c r="W49" s="24"/>
      <c r="X49" s="62" t="str">
        <f>IF('qPCR Run Entry'!U49="","",'qPCR Run Entry'!U49)</f>
        <v/>
      </c>
      <c r="Y49" s="24"/>
      <c r="Z49" s="135">
        <f t="shared" si="2"/>
        <v>0</v>
      </c>
      <c r="AA49" s="110" t="str">
        <f t="shared" si="3"/>
        <v/>
      </c>
      <c r="AC49" s="166"/>
      <c r="AD49" t="str">
        <f>IF('qPCR Run Entry'!X49="","",'qPCR Run Entry'!X49)</f>
        <v/>
      </c>
      <c r="AE49" t="str">
        <f>IF('qPCR Run Entry'!Y49="","",'qPCR Run Entry'!Y49)</f>
        <v/>
      </c>
      <c r="AF49" s="73" t="str">
        <f>IF('qPCR Run Entry'!Z49="","",'qPCR Run Entry'!Z49)</f>
        <v/>
      </c>
      <c r="AG49" t="s">
        <v>68</v>
      </c>
      <c r="AH49" t="s">
        <v>67</v>
      </c>
      <c r="AI49" s="24"/>
      <c r="AJ49" s="24"/>
      <c r="AK49" s="24"/>
      <c r="AL49" s="62" t="str">
        <f>IF('qPCR Run Entry'!AF49="","",'qPCR Run Entry'!AF49)</f>
        <v/>
      </c>
      <c r="AM49" s="24"/>
      <c r="AN49" s="135">
        <f t="shared" si="4"/>
        <v>0</v>
      </c>
      <c r="AO49" s="110" t="str">
        <f t="shared" si="5"/>
        <v/>
      </c>
    </row>
    <row r="50" spans="1:41" ht="17" customHeight="1" x14ac:dyDescent="0.2">
      <c r="A50" s="166">
        <f>'Sample Metadata'!D25</f>
        <v>0</v>
      </c>
      <c r="B50" t="str">
        <f>IF('qPCR Run Entry'!B50="","",'qPCR Run Entry'!B50)</f>
        <v/>
      </c>
      <c r="C50" t="str">
        <f>IF('qPCR Run Entry'!C50="","",'qPCR Run Entry'!C50)</f>
        <v/>
      </c>
      <c r="D50" s="149" t="str">
        <f>IF('qPCR Run Entry'!D50="","",'qPCR Run Entry'!D50)</f>
        <v/>
      </c>
      <c r="E50" t="s">
        <v>68</v>
      </c>
      <c r="F50" t="s">
        <v>67</v>
      </c>
      <c r="G50" s="24"/>
      <c r="H50" s="24"/>
      <c r="I50" s="24"/>
      <c r="J50" s="62" t="str">
        <f>IF('qPCR Run Entry'!J50="","",'qPCR Run Entry'!J50)</f>
        <v/>
      </c>
      <c r="K50" s="24"/>
      <c r="L50" s="135">
        <f t="shared" si="0"/>
        <v>0</v>
      </c>
      <c r="M50" s="110" t="str">
        <f t="shared" si="1"/>
        <v/>
      </c>
      <c r="O50" s="166">
        <f>A50</f>
        <v>0</v>
      </c>
      <c r="P50" t="str">
        <f>IF('qPCR Run Entry'!M50="","",'qPCR Run Entry'!M50)</f>
        <v/>
      </c>
      <c r="Q50" t="str">
        <f>IF('qPCR Run Entry'!N50="","",'qPCR Run Entry'!N50)</f>
        <v/>
      </c>
      <c r="R50" s="73" t="str">
        <f>IF('qPCR Run Entry'!O50="","",'qPCR Run Entry'!O50)</f>
        <v/>
      </c>
      <c r="S50" t="s">
        <v>68</v>
      </c>
      <c r="T50" t="s">
        <v>67</v>
      </c>
      <c r="U50" s="24"/>
      <c r="V50" s="24"/>
      <c r="W50" s="24"/>
      <c r="X50" s="62" t="str">
        <f>IF('qPCR Run Entry'!U50="","",'qPCR Run Entry'!U50)</f>
        <v/>
      </c>
      <c r="Y50" s="24"/>
      <c r="Z50" s="135">
        <f t="shared" si="2"/>
        <v>0</v>
      </c>
      <c r="AA50" s="110" t="str">
        <f t="shared" si="3"/>
        <v/>
      </c>
      <c r="AC50" s="166">
        <f>O50</f>
        <v>0</v>
      </c>
      <c r="AD50" t="str">
        <f>IF('qPCR Run Entry'!X50="","",'qPCR Run Entry'!X50)</f>
        <v/>
      </c>
      <c r="AE50" t="str">
        <f>IF('qPCR Run Entry'!Y50="","",'qPCR Run Entry'!Y50)</f>
        <v/>
      </c>
      <c r="AF50" s="73" t="str">
        <f>IF('qPCR Run Entry'!Z50="","",'qPCR Run Entry'!Z50)</f>
        <v/>
      </c>
      <c r="AG50" t="s">
        <v>68</v>
      </c>
      <c r="AH50" t="s">
        <v>67</v>
      </c>
      <c r="AI50" s="24"/>
      <c r="AJ50" s="24"/>
      <c r="AK50" s="24"/>
      <c r="AL50" s="62" t="str">
        <f>IF('qPCR Run Entry'!AF50="","",'qPCR Run Entry'!AF50)</f>
        <v/>
      </c>
      <c r="AM50" s="24"/>
      <c r="AN50" s="135">
        <f t="shared" si="4"/>
        <v>0</v>
      </c>
      <c r="AO50" s="110" t="str">
        <f t="shared" si="5"/>
        <v/>
      </c>
    </row>
    <row r="51" spans="1:41" ht="17" customHeight="1" x14ac:dyDescent="0.2">
      <c r="A51" s="166"/>
      <c r="B51" t="str">
        <f>IF('qPCR Run Entry'!B51="","",'qPCR Run Entry'!B51)</f>
        <v/>
      </c>
      <c r="C51" t="str">
        <f>IF('qPCR Run Entry'!C51="","",'qPCR Run Entry'!C51)</f>
        <v/>
      </c>
      <c r="D51" s="151"/>
      <c r="E51" t="s">
        <v>68</v>
      </c>
      <c r="F51" t="s">
        <v>67</v>
      </c>
      <c r="G51" s="24"/>
      <c r="H51" s="24"/>
      <c r="I51" s="24"/>
      <c r="J51" s="62" t="str">
        <f>IF('qPCR Run Entry'!J51="","",'qPCR Run Entry'!J51)</f>
        <v/>
      </c>
      <c r="K51" s="24"/>
      <c r="L51" s="135">
        <f t="shared" si="0"/>
        <v>0</v>
      </c>
      <c r="M51" s="110" t="str">
        <f t="shared" si="1"/>
        <v/>
      </c>
      <c r="O51" s="166"/>
      <c r="P51" t="str">
        <f>IF('qPCR Run Entry'!M51="","",'qPCR Run Entry'!M51)</f>
        <v/>
      </c>
      <c r="Q51" t="str">
        <f>IF('qPCR Run Entry'!N51="","",'qPCR Run Entry'!N51)</f>
        <v/>
      </c>
      <c r="R51" s="73" t="str">
        <f>IF('qPCR Run Entry'!O51="","",'qPCR Run Entry'!O51)</f>
        <v/>
      </c>
      <c r="S51" t="s">
        <v>68</v>
      </c>
      <c r="T51" t="s">
        <v>67</v>
      </c>
      <c r="U51" s="24"/>
      <c r="V51" s="24"/>
      <c r="W51" s="24"/>
      <c r="X51" s="62" t="str">
        <f>IF('qPCR Run Entry'!U51="","",'qPCR Run Entry'!U51)</f>
        <v/>
      </c>
      <c r="Y51" s="24"/>
      <c r="Z51" s="135">
        <f t="shared" si="2"/>
        <v>0</v>
      </c>
      <c r="AA51" s="110" t="str">
        <f t="shared" si="3"/>
        <v/>
      </c>
      <c r="AC51" s="166"/>
      <c r="AD51" t="str">
        <f>IF('qPCR Run Entry'!X51="","",'qPCR Run Entry'!X51)</f>
        <v/>
      </c>
      <c r="AE51" t="str">
        <f>IF('qPCR Run Entry'!Y51="","",'qPCR Run Entry'!Y51)</f>
        <v/>
      </c>
      <c r="AF51" s="73" t="str">
        <f>IF('qPCR Run Entry'!Z51="","",'qPCR Run Entry'!Z51)</f>
        <v/>
      </c>
      <c r="AG51" t="s">
        <v>68</v>
      </c>
      <c r="AH51" t="s">
        <v>67</v>
      </c>
      <c r="AI51" s="24"/>
      <c r="AJ51" s="24"/>
      <c r="AK51" s="24"/>
      <c r="AL51" s="62" t="str">
        <f>IF('qPCR Run Entry'!AF51="","",'qPCR Run Entry'!AF51)</f>
        <v/>
      </c>
      <c r="AM51" s="24"/>
      <c r="AN51" s="135">
        <f t="shared" si="4"/>
        <v>0</v>
      </c>
      <c r="AO51" s="110" t="str">
        <f t="shared" si="5"/>
        <v/>
      </c>
    </row>
    <row r="52" spans="1:41" ht="17" customHeight="1" x14ac:dyDescent="0.2">
      <c r="A52" s="166">
        <f>'Sample Metadata'!D26</f>
        <v>0</v>
      </c>
      <c r="B52" t="str">
        <f>IF('qPCR Run Entry'!B52="","",'qPCR Run Entry'!B52)</f>
        <v/>
      </c>
      <c r="C52" t="str">
        <f>IF('qPCR Run Entry'!C52="","",'qPCR Run Entry'!C52)</f>
        <v/>
      </c>
      <c r="D52" s="149" t="str">
        <f>IF('qPCR Run Entry'!D52="","",'qPCR Run Entry'!D52)</f>
        <v/>
      </c>
      <c r="E52" t="s">
        <v>68</v>
      </c>
      <c r="F52" t="s">
        <v>67</v>
      </c>
      <c r="G52" s="24"/>
      <c r="H52" s="24"/>
      <c r="I52" s="24"/>
      <c r="J52" s="62" t="str">
        <f>IF('qPCR Run Entry'!J52="","",'qPCR Run Entry'!J52)</f>
        <v/>
      </c>
      <c r="K52" s="136"/>
      <c r="L52" s="135">
        <f t="shared" si="0"/>
        <v>0</v>
      </c>
      <c r="M52" s="110" t="str">
        <f t="shared" si="1"/>
        <v/>
      </c>
      <c r="O52" s="166">
        <f>A52</f>
        <v>0</v>
      </c>
      <c r="P52" t="str">
        <f>IF('qPCR Run Entry'!M52="","",'qPCR Run Entry'!M52)</f>
        <v/>
      </c>
      <c r="Q52" t="str">
        <f>IF('qPCR Run Entry'!N52="","",'qPCR Run Entry'!N52)</f>
        <v/>
      </c>
      <c r="R52" s="73" t="str">
        <f>IF('qPCR Run Entry'!O52="","",'qPCR Run Entry'!O52)</f>
        <v/>
      </c>
      <c r="S52" t="s">
        <v>68</v>
      </c>
      <c r="T52" t="s">
        <v>67</v>
      </c>
      <c r="U52" s="24"/>
      <c r="V52" s="24"/>
      <c r="W52" s="24"/>
      <c r="X52" s="62" t="str">
        <f>IF('qPCR Run Entry'!U52="","",'qPCR Run Entry'!U52)</f>
        <v/>
      </c>
      <c r="Y52" s="136"/>
      <c r="Z52" s="135">
        <f t="shared" si="2"/>
        <v>0</v>
      </c>
      <c r="AA52" s="110" t="str">
        <f t="shared" si="3"/>
        <v/>
      </c>
      <c r="AC52" s="166">
        <f>O52</f>
        <v>0</v>
      </c>
      <c r="AD52" t="str">
        <f>IF('qPCR Run Entry'!X52="","",'qPCR Run Entry'!X52)</f>
        <v/>
      </c>
      <c r="AE52" t="str">
        <f>IF('qPCR Run Entry'!Y52="","",'qPCR Run Entry'!Y52)</f>
        <v/>
      </c>
      <c r="AF52" s="73" t="str">
        <f>IF('qPCR Run Entry'!Z52="","",'qPCR Run Entry'!Z52)</f>
        <v/>
      </c>
      <c r="AG52" t="s">
        <v>68</v>
      </c>
      <c r="AH52" t="s">
        <v>67</v>
      </c>
      <c r="AI52" s="24"/>
      <c r="AJ52" s="24"/>
      <c r="AK52" s="24"/>
      <c r="AL52" s="62" t="str">
        <f>IF('qPCR Run Entry'!AF52="","",'qPCR Run Entry'!AF52)</f>
        <v/>
      </c>
      <c r="AM52" s="136"/>
      <c r="AN52" s="135">
        <f t="shared" si="4"/>
        <v>0</v>
      </c>
      <c r="AO52" s="110" t="str">
        <f t="shared" si="5"/>
        <v/>
      </c>
    </row>
    <row r="53" spans="1:41" ht="17" customHeight="1" x14ac:dyDescent="0.2">
      <c r="A53" s="166"/>
      <c r="B53" t="str">
        <f>IF('qPCR Run Entry'!B53="","",'qPCR Run Entry'!B53)</f>
        <v/>
      </c>
      <c r="C53" t="str">
        <f>IF('qPCR Run Entry'!C53="","",'qPCR Run Entry'!C53)</f>
        <v/>
      </c>
      <c r="D53" s="151"/>
      <c r="E53" t="s">
        <v>68</v>
      </c>
      <c r="F53" t="s">
        <v>67</v>
      </c>
      <c r="G53" s="24"/>
      <c r="H53" s="24"/>
      <c r="I53" s="24"/>
      <c r="J53" s="62" t="str">
        <f>IF('qPCR Run Entry'!J53="","",'qPCR Run Entry'!J53)</f>
        <v/>
      </c>
      <c r="K53" s="136"/>
      <c r="L53" s="135">
        <f t="shared" si="0"/>
        <v>0</v>
      </c>
      <c r="M53" s="110" t="str">
        <f t="shared" si="1"/>
        <v/>
      </c>
      <c r="O53" s="166"/>
      <c r="P53" t="str">
        <f>IF('qPCR Run Entry'!M53="","",'qPCR Run Entry'!M53)</f>
        <v/>
      </c>
      <c r="Q53" t="str">
        <f>IF('qPCR Run Entry'!N53="","",'qPCR Run Entry'!N53)</f>
        <v/>
      </c>
      <c r="R53" s="73" t="str">
        <f>IF('qPCR Run Entry'!O53="","",'qPCR Run Entry'!O53)</f>
        <v/>
      </c>
      <c r="S53" t="s">
        <v>68</v>
      </c>
      <c r="T53" t="s">
        <v>67</v>
      </c>
      <c r="U53" s="24"/>
      <c r="V53" s="24"/>
      <c r="W53" s="24"/>
      <c r="X53" s="62" t="str">
        <f>IF('qPCR Run Entry'!U53="","",'qPCR Run Entry'!U53)</f>
        <v/>
      </c>
      <c r="Y53" s="136"/>
      <c r="Z53" s="135">
        <f t="shared" si="2"/>
        <v>0</v>
      </c>
      <c r="AA53" s="110" t="str">
        <f t="shared" si="3"/>
        <v/>
      </c>
      <c r="AC53" s="166"/>
      <c r="AD53" t="str">
        <f>IF('qPCR Run Entry'!X53="","",'qPCR Run Entry'!X53)</f>
        <v/>
      </c>
      <c r="AE53" t="str">
        <f>IF('qPCR Run Entry'!Y53="","",'qPCR Run Entry'!Y53)</f>
        <v/>
      </c>
      <c r="AF53" s="73" t="str">
        <f>IF('qPCR Run Entry'!Z53="","",'qPCR Run Entry'!Z53)</f>
        <v/>
      </c>
      <c r="AG53" t="s">
        <v>68</v>
      </c>
      <c r="AH53" t="s">
        <v>67</v>
      </c>
      <c r="AI53" s="24"/>
      <c r="AJ53" s="24"/>
      <c r="AK53" s="24"/>
      <c r="AL53" s="62" t="str">
        <f>IF('qPCR Run Entry'!AF53="","",'qPCR Run Entry'!AF53)</f>
        <v/>
      </c>
      <c r="AM53" s="136"/>
      <c r="AN53" s="135">
        <f t="shared" si="4"/>
        <v>0</v>
      </c>
      <c r="AO53" s="110" t="str">
        <f t="shared" si="5"/>
        <v/>
      </c>
    </row>
    <row r="54" spans="1:41" ht="17" customHeight="1" x14ac:dyDescent="0.2">
      <c r="A54" s="166">
        <f>'Sample Metadata'!D27</f>
        <v>0</v>
      </c>
      <c r="B54" t="str">
        <f>IF('qPCR Run Entry'!B54="","",'qPCR Run Entry'!B54)</f>
        <v/>
      </c>
      <c r="C54" t="str">
        <f>IF('qPCR Run Entry'!C54="","",'qPCR Run Entry'!C54)</f>
        <v/>
      </c>
      <c r="D54" s="149" t="str">
        <f>IF('qPCR Run Entry'!D54="","",'qPCR Run Entry'!D54)</f>
        <v/>
      </c>
      <c r="E54" t="s">
        <v>68</v>
      </c>
      <c r="F54" t="s">
        <v>67</v>
      </c>
      <c r="G54" s="24"/>
      <c r="H54" s="24"/>
      <c r="I54" s="24"/>
      <c r="J54" s="62" t="str">
        <f>IF('qPCR Run Entry'!J54="","",'qPCR Run Entry'!J54)</f>
        <v/>
      </c>
      <c r="K54" s="24"/>
      <c r="L54" s="135">
        <f t="shared" si="0"/>
        <v>0</v>
      </c>
      <c r="M54" s="110" t="str">
        <f t="shared" si="1"/>
        <v/>
      </c>
      <c r="O54" s="166">
        <f>A54</f>
        <v>0</v>
      </c>
      <c r="P54" t="str">
        <f>IF('qPCR Run Entry'!M54="","",'qPCR Run Entry'!M54)</f>
        <v/>
      </c>
      <c r="Q54" t="str">
        <f>IF('qPCR Run Entry'!N54="","",'qPCR Run Entry'!N54)</f>
        <v/>
      </c>
      <c r="R54" s="73" t="str">
        <f>IF('qPCR Run Entry'!O54="","",'qPCR Run Entry'!O54)</f>
        <v/>
      </c>
      <c r="S54" t="s">
        <v>68</v>
      </c>
      <c r="T54" t="s">
        <v>67</v>
      </c>
      <c r="U54" s="24"/>
      <c r="V54" s="24"/>
      <c r="W54" s="24"/>
      <c r="X54" s="62" t="str">
        <f>IF('qPCR Run Entry'!U54="","",'qPCR Run Entry'!U54)</f>
        <v/>
      </c>
      <c r="Y54" s="24"/>
      <c r="Z54" s="135">
        <f t="shared" si="2"/>
        <v>0</v>
      </c>
      <c r="AA54" s="110" t="str">
        <f t="shared" si="3"/>
        <v/>
      </c>
      <c r="AC54" s="166">
        <f>O54</f>
        <v>0</v>
      </c>
      <c r="AD54" t="str">
        <f>IF('qPCR Run Entry'!X54="","",'qPCR Run Entry'!X54)</f>
        <v/>
      </c>
      <c r="AE54" t="str">
        <f>IF('qPCR Run Entry'!Y54="","",'qPCR Run Entry'!Y54)</f>
        <v/>
      </c>
      <c r="AF54" s="73" t="str">
        <f>IF('qPCR Run Entry'!Z54="","",'qPCR Run Entry'!Z54)</f>
        <v/>
      </c>
      <c r="AG54" t="s">
        <v>68</v>
      </c>
      <c r="AH54" t="s">
        <v>67</v>
      </c>
      <c r="AI54" s="24"/>
      <c r="AJ54" s="24"/>
      <c r="AK54" s="24"/>
      <c r="AL54" s="62" t="str">
        <f>IF('qPCR Run Entry'!AF54="","",'qPCR Run Entry'!AF54)</f>
        <v/>
      </c>
      <c r="AM54" s="24"/>
      <c r="AN54" s="135">
        <f t="shared" si="4"/>
        <v>0</v>
      </c>
      <c r="AO54" s="110" t="str">
        <f t="shared" si="5"/>
        <v/>
      </c>
    </row>
    <row r="55" spans="1:41" ht="17" customHeight="1" x14ac:dyDescent="0.2">
      <c r="A55" s="166"/>
      <c r="B55" t="str">
        <f>IF('qPCR Run Entry'!B55="","",'qPCR Run Entry'!B55)</f>
        <v/>
      </c>
      <c r="C55" t="str">
        <f>IF('qPCR Run Entry'!C55="","",'qPCR Run Entry'!C55)</f>
        <v/>
      </c>
      <c r="D55" s="151"/>
      <c r="E55" t="s">
        <v>68</v>
      </c>
      <c r="F55" t="s">
        <v>67</v>
      </c>
      <c r="G55" s="24"/>
      <c r="H55" s="24"/>
      <c r="I55" s="24"/>
      <c r="J55" s="62" t="str">
        <f>IF('qPCR Run Entry'!J55="","",'qPCR Run Entry'!J55)</f>
        <v/>
      </c>
      <c r="K55" s="24"/>
      <c r="L55" s="135">
        <f t="shared" si="0"/>
        <v>0</v>
      </c>
      <c r="M55" s="110" t="str">
        <f t="shared" si="1"/>
        <v/>
      </c>
      <c r="O55" s="166"/>
      <c r="P55" t="str">
        <f>IF('qPCR Run Entry'!M55="","",'qPCR Run Entry'!M55)</f>
        <v/>
      </c>
      <c r="Q55" t="str">
        <f>IF('qPCR Run Entry'!N55="","",'qPCR Run Entry'!N55)</f>
        <v/>
      </c>
      <c r="R55" s="73" t="str">
        <f>IF('qPCR Run Entry'!O55="","",'qPCR Run Entry'!O55)</f>
        <v/>
      </c>
      <c r="S55" t="s">
        <v>68</v>
      </c>
      <c r="T55" t="s">
        <v>67</v>
      </c>
      <c r="U55" s="24"/>
      <c r="V55" s="24"/>
      <c r="W55" s="24"/>
      <c r="X55" s="62" t="str">
        <f>IF('qPCR Run Entry'!U55="","",'qPCR Run Entry'!U55)</f>
        <v/>
      </c>
      <c r="Y55" s="24"/>
      <c r="Z55" s="135">
        <f t="shared" si="2"/>
        <v>0</v>
      </c>
      <c r="AA55" s="110" t="str">
        <f t="shared" si="3"/>
        <v/>
      </c>
      <c r="AC55" s="166"/>
      <c r="AD55" t="str">
        <f>IF('qPCR Run Entry'!X55="","",'qPCR Run Entry'!X55)</f>
        <v/>
      </c>
      <c r="AE55" t="str">
        <f>IF('qPCR Run Entry'!Y55="","",'qPCR Run Entry'!Y55)</f>
        <v/>
      </c>
      <c r="AF55" s="73" t="str">
        <f>IF('qPCR Run Entry'!Z55="","",'qPCR Run Entry'!Z55)</f>
        <v/>
      </c>
      <c r="AG55" t="s">
        <v>68</v>
      </c>
      <c r="AH55" t="s">
        <v>67</v>
      </c>
      <c r="AI55" s="24"/>
      <c r="AJ55" s="24"/>
      <c r="AK55" s="24"/>
      <c r="AL55" s="62" t="str">
        <f>IF('qPCR Run Entry'!AF55="","",'qPCR Run Entry'!AF55)</f>
        <v/>
      </c>
      <c r="AM55" s="24"/>
      <c r="AN55" s="135">
        <f t="shared" si="4"/>
        <v>0</v>
      </c>
      <c r="AO55" s="110" t="str">
        <f t="shared" si="5"/>
        <v/>
      </c>
    </row>
    <row r="56" spans="1:41" ht="17" customHeight="1" x14ac:dyDescent="0.2">
      <c r="A56" s="166">
        <f>'Sample Metadata'!D28</f>
        <v>0</v>
      </c>
      <c r="B56" t="str">
        <f>IF('qPCR Run Entry'!B56="","",'qPCR Run Entry'!B56)</f>
        <v/>
      </c>
      <c r="C56" t="str">
        <f>IF('qPCR Run Entry'!C56="","",'qPCR Run Entry'!C56)</f>
        <v/>
      </c>
      <c r="D56" s="149" t="str">
        <f>IF('qPCR Run Entry'!D56="","",'qPCR Run Entry'!D56)</f>
        <v/>
      </c>
      <c r="E56" t="s">
        <v>68</v>
      </c>
      <c r="F56" t="s">
        <v>67</v>
      </c>
      <c r="G56" s="24"/>
      <c r="H56" s="24"/>
      <c r="I56" s="24"/>
      <c r="J56" s="62" t="str">
        <f>IF('qPCR Run Entry'!J56="","",'qPCR Run Entry'!J56)</f>
        <v/>
      </c>
      <c r="K56" s="24"/>
      <c r="L56" s="135">
        <f t="shared" si="0"/>
        <v>0</v>
      </c>
      <c r="M56" s="110" t="str">
        <f t="shared" si="1"/>
        <v/>
      </c>
      <c r="O56" s="166">
        <f>A56</f>
        <v>0</v>
      </c>
      <c r="P56" t="str">
        <f>IF('qPCR Run Entry'!M56="","",'qPCR Run Entry'!M56)</f>
        <v/>
      </c>
      <c r="Q56" t="str">
        <f>IF('qPCR Run Entry'!N56="","",'qPCR Run Entry'!N56)</f>
        <v/>
      </c>
      <c r="R56" s="73" t="str">
        <f>IF('qPCR Run Entry'!O56="","",'qPCR Run Entry'!O56)</f>
        <v/>
      </c>
      <c r="S56" t="s">
        <v>68</v>
      </c>
      <c r="T56" t="s">
        <v>67</v>
      </c>
      <c r="U56" s="24"/>
      <c r="V56" s="24"/>
      <c r="W56" s="24"/>
      <c r="X56" s="62" t="str">
        <f>IF('qPCR Run Entry'!U56="","",'qPCR Run Entry'!U56)</f>
        <v/>
      </c>
      <c r="Y56" s="24"/>
      <c r="Z56" s="135">
        <f t="shared" si="2"/>
        <v>0</v>
      </c>
      <c r="AA56" s="110" t="str">
        <f t="shared" si="3"/>
        <v/>
      </c>
      <c r="AC56" s="166">
        <f>O56</f>
        <v>0</v>
      </c>
      <c r="AD56" t="str">
        <f>IF('qPCR Run Entry'!X56="","",'qPCR Run Entry'!X56)</f>
        <v/>
      </c>
      <c r="AE56" t="str">
        <f>IF('qPCR Run Entry'!Y56="","",'qPCR Run Entry'!Y56)</f>
        <v/>
      </c>
      <c r="AF56" s="73" t="str">
        <f>IF('qPCR Run Entry'!Z56="","",'qPCR Run Entry'!Z56)</f>
        <v/>
      </c>
      <c r="AG56" t="s">
        <v>68</v>
      </c>
      <c r="AH56" t="s">
        <v>67</v>
      </c>
      <c r="AI56" s="24"/>
      <c r="AJ56" s="24"/>
      <c r="AK56" s="24"/>
      <c r="AL56" s="62" t="str">
        <f>IF('qPCR Run Entry'!AF56="","",'qPCR Run Entry'!AF56)</f>
        <v/>
      </c>
      <c r="AM56" s="24"/>
      <c r="AN56" s="135">
        <f t="shared" si="4"/>
        <v>0</v>
      </c>
      <c r="AO56" s="110" t="str">
        <f t="shared" si="5"/>
        <v/>
      </c>
    </row>
    <row r="57" spans="1:41" ht="17" customHeight="1" x14ac:dyDescent="0.2">
      <c r="A57" s="166"/>
      <c r="B57" t="str">
        <f>IF('qPCR Run Entry'!B57="","",'qPCR Run Entry'!B57)</f>
        <v/>
      </c>
      <c r="C57" t="str">
        <f>IF('qPCR Run Entry'!C57="","",'qPCR Run Entry'!C57)</f>
        <v/>
      </c>
      <c r="D57" s="151"/>
      <c r="E57" t="s">
        <v>68</v>
      </c>
      <c r="F57" t="s">
        <v>67</v>
      </c>
      <c r="G57" s="24"/>
      <c r="H57" s="24"/>
      <c r="I57" s="24"/>
      <c r="J57" s="62" t="str">
        <f>IF('qPCR Run Entry'!J57="","",'qPCR Run Entry'!J57)</f>
        <v/>
      </c>
      <c r="K57" s="24"/>
      <c r="L57" s="135">
        <f t="shared" si="0"/>
        <v>0</v>
      </c>
      <c r="M57" s="110" t="str">
        <f t="shared" si="1"/>
        <v/>
      </c>
      <c r="O57" s="166"/>
      <c r="P57" t="str">
        <f>IF('qPCR Run Entry'!M57="","",'qPCR Run Entry'!M57)</f>
        <v/>
      </c>
      <c r="Q57" t="str">
        <f>IF('qPCR Run Entry'!N57="","",'qPCR Run Entry'!N57)</f>
        <v/>
      </c>
      <c r="R57" s="73" t="str">
        <f>IF('qPCR Run Entry'!O57="","",'qPCR Run Entry'!O57)</f>
        <v/>
      </c>
      <c r="S57" t="s">
        <v>68</v>
      </c>
      <c r="T57" t="s">
        <v>67</v>
      </c>
      <c r="U57" s="24"/>
      <c r="V57" s="24"/>
      <c r="W57" s="24"/>
      <c r="X57" s="62" t="str">
        <f>IF('qPCR Run Entry'!U57="","",'qPCR Run Entry'!U57)</f>
        <v/>
      </c>
      <c r="Y57" s="24"/>
      <c r="Z57" s="135">
        <f t="shared" si="2"/>
        <v>0</v>
      </c>
      <c r="AA57" s="110" t="str">
        <f t="shared" si="3"/>
        <v/>
      </c>
      <c r="AC57" s="166"/>
      <c r="AD57" t="str">
        <f>IF('qPCR Run Entry'!X57="","",'qPCR Run Entry'!X57)</f>
        <v/>
      </c>
      <c r="AE57" t="str">
        <f>IF('qPCR Run Entry'!Y57="","",'qPCR Run Entry'!Y57)</f>
        <v/>
      </c>
      <c r="AF57" s="73" t="str">
        <f>IF('qPCR Run Entry'!Z57="","",'qPCR Run Entry'!Z57)</f>
        <v/>
      </c>
      <c r="AG57" t="s">
        <v>68</v>
      </c>
      <c r="AH57" t="s">
        <v>67</v>
      </c>
      <c r="AI57" s="24"/>
      <c r="AJ57" s="24"/>
      <c r="AK57" s="24"/>
      <c r="AL57" s="62" t="str">
        <f>IF('qPCR Run Entry'!AF57="","",'qPCR Run Entry'!AF57)</f>
        <v/>
      </c>
      <c r="AM57" s="24"/>
      <c r="AN57" s="135">
        <f t="shared" si="4"/>
        <v>0</v>
      </c>
      <c r="AO57" s="110" t="str">
        <f t="shared" si="5"/>
        <v/>
      </c>
    </row>
    <row r="58" spans="1:41" ht="17" customHeight="1" x14ac:dyDescent="0.2">
      <c r="A58" s="166">
        <f>'Sample Metadata'!D29</f>
        <v>0</v>
      </c>
      <c r="B58" t="str">
        <f>IF('qPCR Run Entry'!B58="","",'qPCR Run Entry'!B58)</f>
        <v/>
      </c>
      <c r="C58" t="str">
        <f>IF('qPCR Run Entry'!C58="","",'qPCR Run Entry'!C58)</f>
        <v/>
      </c>
      <c r="D58" s="149" t="str">
        <f>IF('qPCR Run Entry'!D58="","",'qPCR Run Entry'!D58)</f>
        <v/>
      </c>
      <c r="E58" t="s">
        <v>68</v>
      </c>
      <c r="F58" t="s">
        <v>67</v>
      </c>
      <c r="G58" s="24"/>
      <c r="H58" s="24"/>
      <c r="I58" s="24"/>
      <c r="J58" s="62" t="str">
        <f>IF('qPCR Run Entry'!J58="","",'qPCR Run Entry'!J58)</f>
        <v/>
      </c>
      <c r="K58" s="24"/>
      <c r="L58" s="135">
        <f t="shared" si="0"/>
        <v>0</v>
      </c>
      <c r="M58" s="110" t="str">
        <f t="shared" si="1"/>
        <v/>
      </c>
      <c r="O58" s="166">
        <f>A58</f>
        <v>0</v>
      </c>
      <c r="P58" t="str">
        <f>IF('qPCR Run Entry'!M58="","",'qPCR Run Entry'!M58)</f>
        <v/>
      </c>
      <c r="Q58" t="str">
        <f>IF('qPCR Run Entry'!N58="","",'qPCR Run Entry'!N58)</f>
        <v/>
      </c>
      <c r="R58" s="73" t="str">
        <f>IF('qPCR Run Entry'!O58="","",'qPCR Run Entry'!O58)</f>
        <v/>
      </c>
      <c r="S58" t="s">
        <v>68</v>
      </c>
      <c r="T58" t="s">
        <v>67</v>
      </c>
      <c r="U58" s="24"/>
      <c r="V58" s="24"/>
      <c r="W58" s="24"/>
      <c r="X58" s="62" t="str">
        <f>IF('qPCR Run Entry'!U58="","",'qPCR Run Entry'!U58)</f>
        <v/>
      </c>
      <c r="Y58" s="24"/>
      <c r="Z58" s="135">
        <f t="shared" si="2"/>
        <v>0</v>
      </c>
      <c r="AA58" s="110" t="str">
        <f t="shared" si="3"/>
        <v/>
      </c>
      <c r="AC58" s="166">
        <f>O58</f>
        <v>0</v>
      </c>
      <c r="AD58" t="str">
        <f>IF('qPCR Run Entry'!X58="","",'qPCR Run Entry'!X58)</f>
        <v/>
      </c>
      <c r="AE58" t="str">
        <f>IF('qPCR Run Entry'!Y58="","",'qPCR Run Entry'!Y58)</f>
        <v/>
      </c>
      <c r="AF58" s="73" t="str">
        <f>IF('qPCR Run Entry'!Z58="","",'qPCR Run Entry'!Z58)</f>
        <v/>
      </c>
      <c r="AG58" t="s">
        <v>68</v>
      </c>
      <c r="AH58" t="s">
        <v>67</v>
      </c>
      <c r="AI58" s="24"/>
      <c r="AJ58" s="24"/>
      <c r="AK58" s="24"/>
      <c r="AL58" s="62" t="str">
        <f>IF('qPCR Run Entry'!AF58="","",'qPCR Run Entry'!AF58)</f>
        <v/>
      </c>
      <c r="AM58" s="24"/>
      <c r="AN58" s="135">
        <f t="shared" si="4"/>
        <v>0</v>
      </c>
      <c r="AO58" s="110" t="str">
        <f t="shared" si="5"/>
        <v/>
      </c>
    </row>
    <row r="59" spans="1:41" ht="17" customHeight="1" x14ac:dyDescent="0.2">
      <c r="A59" s="166"/>
      <c r="B59" t="str">
        <f>IF('qPCR Run Entry'!B59="","",'qPCR Run Entry'!B59)</f>
        <v/>
      </c>
      <c r="C59" t="str">
        <f>IF('qPCR Run Entry'!C59="","",'qPCR Run Entry'!C59)</f>
        <v/>
      </c>
      <c r="D59" s="151"/>
      <c r="E59" t="s">
        <v>68</v>
      </c>
      <c r="F59" t="s">
        <v>67</v>
      </c>
      <c r="G59" s="24"/>
      <c r="H59" s="24"/>
      <c r="I59" s="24"/>
      <c r="J59" s="62" t="str">
        <f>IF('qPCR Run Entry'!J59="","",'qPCR Run Entry'!J59)</f>
        <v/>
      </c>
      <c r="K59" s="24"/>
      <c r="L59" s="135">
        <f t="shared" si="0"/>
        <v>0</v>
      </c>
      <c r="M59" s="110" t="str">
        <f t="shared" si="1"/>
        <v/>
      </c>
      <c r="O59" s="166"/>
      <c r="P59" t="str">
        <f>IF('qPCR Run Entry'!M59="","",'qPCR Run Entry'!M59)</f>
        <v/>
      </c>
      <c r="Q59" t="str">
        <f>IF('qPCR Run Entry'!N59="","",'qPCR Run Entry'!N59)</f>
        <v/>
      </c>
      <c r="R59" s="73" t="str">
        <f>IF('qPCR Run Entry'!O59="","",'qPCR Run Entry'!O59)</f>
        <v/>
      </c>
      <c r="S59" t="s">
        <v>68</v>
      </c>
      <c r="T59" t="s">
        <v>67</v>
      </c>
      <c r="U59" s="24"/>
      <c r="V59" s="24"/>
      <c r="W59" s="24"/>
      <c r="X59" s="62" t="str">
        <f>IF('qPCR Run Entry'!U59="","",'qPCR Run Entry'!U59)</f>
        <v/>
      </c>
      <c r="Y59" s="24"/>
      <c r="Z59" s="135">
        <f t="shared" si="2"/>
        <v>0</v>
      </c>
      <c r="AA59" s="110" t="str">
        <f t="shared" si="3"/>
        <v/>
      </c>
      <c r="AC59" s="166"/>
      <c r="AD59" t="str">
        <f>IF('qPCR Run Entry'!X59="","",'qPCR Run Entry'!X59)</f>
        <v/>
      </c>
      <c r="AE59" t="str">
        <f>IF('qPCR Run Entry'!Y59="","",'qPCR Run Entry'!Y59)</f>
        <v/>
      </c>
      <c r="AF59" s="73" t="str">
        <f>IF('qPCR Run Entry'!Z59="","",'qPCR Run Entry'!Z59)</f>
        <v/>
      </c>
      <c r="AG59" t="s">
        <v>68</v>
      </c>
      <c r="AH59" t="s">
        <v>67</v>
      </c>
      <c r="AI59" s="24"/>
      <c r="AJ59" s="24"/>
      <c r="AK59" s="24"/>
      <c r="AL59" s="62" t="str">
        <f>IF('qPCR Run Entry'!AF59="","",'qPCR Run Entry'!AF59)</f>
        <v/>
      </c>
      <c r="AM59" s="24"/>
      <c r="AN59" s="135">
        <f t="shared" si="4"/>
        <v>0</v>
      </c>
      <c r="AO59" s="110" t="str">
        <f t="shared" si="5"/>
        <v/>
      </c>
    </row>
    <row r="60" spans="1:41" ht="17" customHeight="1" x14ac:dyDescent="0.2">
      <c r="A60" s="166">
        <f>'Sample Metadata'!D30</f>
        <v>0</v>
      </c>
      <c r="B60" t="str">
        <f>IF('qPCR Run Entry'!B60="","",'qPCR Run Entry'!B60)</f>
        <v/>
      </c>
      <c r="C60" t="str">
        <f>IF('qPCR Run Entry'!C60="","",'qPCR Run Entry'!C60)</f>
        <v/>
      </c>
      <c r="D60" s="149" t="str">
        <f>IF('qPCR Run Entry'!D60="","",'qPCR Run Entry'!D60)</f>
        <v/>
      </c>
      <c r="E60" t="s">
        <v>68</v>
      </c>
      <c r="F60" t="s">
        <v>67</v>
      </c>
      <c r="G60" s="24"/>
      <c r="H60" s="24"/>
      <c r="I60" s="24"/>
      <c r="J60" s="62" t="str">
        <f>IF('qPCR Run Entry'!J60="","",'qPCR Run Entry'!J60)</f>
        <v/>
      </c>
      <c r="K60" s="24"/>
      <c r="L60" s="135">
        <f t="shared" si="0"/>
        <v>0</v>
      </c>
      <c r="M60" s="110" t="str">
        <f t="shared" si="1"/>
        <v/>
      </c>
      <c r="O60" s="166">
        <f>A60</f>
        <v>0</v>
      </c>
      <c r="P60" t="str">
        <f>IF('qPCR Run Entry'!M60="","",'qPCR Run Entry'!M60)</f>
        <v/>
      </c>
      <c r="Q60" t="str">
        <f>IF('qPCR Run Entry'!N60="","",'qPCR Run Entry'!N60)</f>
        <v/>
      </c>
      <c r="R60" s="73" t="str">
        <f>IF('qPCR Run Entry'!O60="","",'qPCR Run Entry'!O60)</f>
        <v/>
      </c>
      <c r="S60" t="s">
        <v>68</v>
      </c>
      <c r="T60" t="s">
        <v>67</v>
      </c>
      <c r="U60" s="24"/>
      <c r="V60" s="24"/>
      <c r="W60" s="24"/>
      <c r="X60" s="62" t="str">
        <f>IF('qPCR Run Entry'!U60="","",'qPCR Run Entry'!U60)</f>
        <v/>
      </c>
      <c r="Y60" s="24"/>
      <c r="Z60" s="135">
        <f t="shared" si="2"/>
        <v>0</v>
      </c>
      <c r="AA60" s="110" t="str">
        <f t="shared" si="3"/>
        <v/>
      </c>
      <c r="AC60" s="166">
        <f>O60</f>
        <v>0</v>
      </c>
      <c r="AD60" t="str">
        <f>IF('qPCR Run Entry'!X60="","",'qPCR Run Entry'!X60)</f>
        <v/>
      </c>
      <c r="AE60" t="str">
        <f>IF('qPCR Run Entry'!Y60="","",'qPCR Run Entry'!Y60)</f>
        <v/>
      </c>
      <c r="AF60" s="73" t="str">
        <f>IF('qPCR Run Entry'!Z60="","",'qPCR Run Entry'!Z60)</f>
        <v/>
      </c>
      <c r="AG60" t="s">
        <v>68</v>
      </c>
      <c r="AH60" t="s">
        <v>67</v>
      </c>
      <c r="AI60" s="24"/>
      <c r="AJ60" s="24"/>
      <c r="AK60" s="24"/>
      <c r="AL60" s="62" t="str">
        <f>IF('qPCR Run Entry'!AF60="","",'qPCR Run Entry'!AF60)</f>
        <v/>
      </c>
      <c r="AM60" s="24"/>
      <c r="AN60" s="135">
        <f t="shared" si="4"/>
        <v>0</v>
      </c>
      <c r="AO60" s="110" t="str">
        <f t="shared" si="5"/>
        <v/>
      </c>
    </row>
    <row r="61" spans="1:41" ht="17" customHeight="1" x14ac:dyDescent="0.2">
      <c r="A61" s="166"/>
      <c r="B61" t="str">
        <f>IF('qPCR Run Entry'!B61="","",'qPCR Run Entry'!B61)</f>
        <v/>
      </c>
      <c r="C61" t="str">
        <f>IF('qPCR Run Entry'!C61="","",'qPCR Run Entry'!C61)</f>
        <v/>
      </c>
      <c r="D61" s="151"/>
      <c r="E61" t="s">
        <v>68</v>
      </c>
      <c r="F61" t="s">
        <v>67</v>
      </c>
      <c r="G61" s="24"/>
      <c r="H61" s="24"/>
      <c r="I61" s="24"/>
      <c r="J61" s="62" t="str">
        <f>IF('qPCR Run Entry'!J61="","",'qPCR Run Entry'!J61)</f>
        <v/>
      </c>
      <c r="K61" s="24"/>
      <c r="L61" s="135">
        <f t="shared" si="0"/>
        <v>0</v>
      </c>
      <c r="M61" s="110" t="str">
        <f t="shared" si="1"/>
        <v/>
      </c>
      <c r="O61" s="166"/>
      <c r="P61" t="str">
        <f>IF('qPCR Run Entry'!M61="","",'qPCR Run Entry'!M61)</f>
        <v/>
      </c>
      <c r="Q61" t="str">
        <f>IF('qPCR Run Entry'!N61="","",'qPCR Run Entry'!N61)</f>
        <v/>
      </c>
      <c r="R61" s="73" t="str">
        <f>IF('qPCR Run Entry'!O61="","",'qPCR Run Entry'!O61)</f>
        <v/>
      </c>
      <c r="S61" t="s">
        <v>68</v>
      </c>
      <c r="T61" t="s">
        <v>67</v>
      </c>
      <c r="U61" s="24"/>
      <c r="V61" s="24"/>
      <c r="W61" s="24"/>
      <c r="X61" s="62" t="str">
        <f>IF('qPCR Run Entry'!U61="","",'qPCR Run Entry'!U61)</f>
        <v/>
      </c>
      <c r="Y61" s="24"/>
      <c r="Z61" s="135">
        <f t="shared" si="2"/>
        <v>0</v>
      </c>
      <c r="AA61" s="110" t="str">
        <f t="shared" si="3"/>
        <v/>
      </c>
      <c r="AC61" s="166"/>
      <c r="AD61" t="str">
        <f>IF('qPCR Run Entry'!X61="","",'qPCR Run Entry'!X61)</f>
        <v/>
      </c>
      <c r="AE61" t="str">
        <f>IF('qPCR Run Entry'!Y61="","",'qPCR Run Entry'!Y61)</f>
        <v/>
      </c>
      <c r="AF61" s="73" t="str">
        <f>IF('qPCR Run Entry'!Z61="","",'qPCR Run Entry'!Z61)</f>
        <v/>
      </c>
      <c r="AG61" t="s">
        <v>68</v>
      </c>
      <c r="AH61" t="s">
        <v>67</v>
      </c>
      <c r="AI61" s="24"/>
      <c r="AJ61" s="24"/>
      <c r="AK61" s="24"/>
      <c r="AL61" s="62" t="str">
        <f>IF('qPCR Run Entry'!AF61="","",'qPCR Run Entry'!AF61)</f>
        <v/>
      </c>
      <c r="AM61" s="24"/>
      <c r="AN61" s="135">
        <f t="shared" si="4"/>
        <v>0</v>
      </c>
      <c r="AO61" s="110" t="str">
        <f t="shared" si="5"/>
        <v/>
      </c>
    </row>
    <row r="62" spans="1:41" ht="17" customHeight="1" x14ac:dyDescent="0.2">
      <c r="A62" s="166">
        <f>'Sample Metadata'!D31</f>
        <v>0</v>
      </c>
      <c r="B62" t="str">
        <f>IF('qPCR Run Entry'!B62="","",'qPCR Run Entry'!B62)</f>
        <v/>
      </c>
      <c r="C62" t="str">
        <f>IF('qPCR Run Entry'!C62="","",'qPCR Run Entry'!C62)</f>
        <v/>
      </c>
      <c r="D62" s="149" t="str">
        <f>IF('qPCR Run Entry'!D62="","",'qPCR Run Entry'!D62)</f>
        <v/>
      </c>
      <c r="E62" t="s">
        <v>68</v>
      </c>
      <c r="F62" t="s">
        <v>67</v>
      </c>
      <c r="G62" s="24"/>
      <c r="H62" s="24"/>
      <c r="I62" s="24"/>
      <c r="J62" s="62" t="str">
        <f>IF('qPCR Run Entry'!J62="","",'qPCR Run Entry'!J62)</f>
        <v/>
      </c>
      <c r="K62" s="24"/>
      <c r="L62" s="135">
        <f t="shared" si="0"/>
        <v>0</v>
      </c>
      <c r="M62" s="110" t="str">
        <f t="shared" si="1"/>
        <v/>
      </c>
      <c r="O62" s="166">
        <f>A62</f>
        <v>0</v>
      </c>
      <c r="P62" t="str">
        <f>IF('qPCR Run Entry'!M62="","",'qPCR Run Entry'!M62)</f>
        <v/>
      </c>
      <c r="Q62" t="str">
        <f>IF('qPCR Run Entry'!N62="","",'qPCR Run Entry'!N62)</f>
        <v/>
      </c>
      <c r="R62" s="73" t="str">
        <f>IF('qPCR Run Entry'!O62="","",'qPCR Run Entry'!O62)</f>
        <v/>
      </c>
      <c r="S62" t="s">
        <v>68</v>
      </c>
      <c r="T62" t="s">
        <v>67</v>
      </c>
      <c r="U62" s="24"/>
      <c r="V62" s="24"/>
      <c r="W62" s="24"/>
      <c r="X62" s="62" t="str">
        <f>IF('qPCR Run Entry'!U62="","",'qPCR Run Entry'!U62)</f>
        <v/>
      </c>
      <c r="Y62" s="24"/>
      <c r="Z62" s="135">
        <f t="shared" si="2"/>
        <v>0</v>
      </c>
      <c r="AA62" s="110" t="str">
        <f t="shared" si="3"/>
        <v/>
      </c>
      <c r="AC62" s="166">
        <f>O62</f>
        <v>0</v>
      </c>
      <c r="AD62" t="str">
        <f>IF('qPCR Run Entry'!X62="","",'qPCR Run Entry'!X62)</f>
        <v/>
      </c>
      <c r="AE62" t="str">
        <f>IF('qPCR Run Entry'!Y62="","",'qPCR Run Entry'!Y62)</f>
        <v/>
      </c>
      <c r="AF62" s="73" t="str">
        <f>IF('qPCR Run Entry'!Z62="","",'qPCR Run Entry'!Z62)</f>
        <v/>
      </c>
      <c r="AG62" t="s">
        <v>68</v>
      </c>
      <c r="AH62" t="s">
        <v>67</v>
      </c>
      <c r="AI62" s="24"/>
      <c r="AJ62" s="24"/>
      <c r="AK62" s="24"/>
      <c r="AL62" s="62" t="str">
        <f>IF('qPCR Run Entry'!AF62="","",'qPCR Run Entry'!AF62)</f>
        <v/>
      </c>
      <c r="AM62" s="24"/>
      <c r="AN62" s="135">
        <f t="shared" si="4"/>
        <v>0</v>
      </c>
      <c r="AO62" s="110" t="str">
        <f t="shared" si="5"/>
        <v/>
      </c>
    </row>
    <row r="63" spans="1:41" ht="17" customHeight="1" x14ac:dyDescent="0.2">
      <c r="A63" s="166"/>
      <c r="B63" t="str">
        <f>IF('qPCR Run Entry'!B63="","",'qPCR Run Entry'!B63)</f>
        <v/>
      </c>
      <c r="C63" t="str">
        <f>IF('qPCR Run Entry'!C63="","",'qPCR Run Entry'!C63)</f>
        <v/>
      </c>
      <c r="D63" s="151"/>
      <c r="E63" t="s">
        <v>68</v>
      </c>
      <c r="F63" t="s">
        <v>67</v>
      </c>
      <c r="G63" s="24"/>
      <c r="H63" s="24"/>
      <c r="I63" s="24"/>
      <c r="J63" s="62" t="str">
        <f>IF('qPCR Run Entry'!J63="","",'qPCR Run Entry'!J63)</f>
        <v/>
      </c>
      <c r="K63" s="24"/>
      <c r="L63" s="135">
        <f t="shared" si="0"/>
        <v>0</v>
      </c>
      <c r="M63" s="110" t="str">
        <f t="shared" si="1"/>
        <v/>
      </c>
      <c r="O63" s="166"/>
      <c r="P63" t="str">
        <f>IF('qPCR Run Entry'!M63="","",'qPCR Run Entry'!M63)</f>
        <v/>
      </c>
      <c r="Q63" t="str">
        <f>IF('qPCR Run Entry'!N63="","",'qPCR Run Entry'!N63)</f>
        <v/>
      </c>
      <c r="R63" s="73" t="str">
        <f>IF('qPCR Run Entry'!O63="","",'qPCR Run Entry'!O63)</f>
        <v/>
      </c>
      <c r="S63" t="s">
        <v>68</v>
      </c>
      <c r="T63" t="s">
        <v>67</v>
      </c>
      <c r="U63" s="24"/>
      <c r="V63" s="24"/>
      <c r="W63" s="24"/>
      <c r="X63" s="62" t="str">
        <f>IF('qPCR Run Entry'!U63="","",'qPCR Run Entry'!U63)</f>
        <v/>
      </c>
      <c r="Y63" s="24"/>
      <c r="Z63" s="135">
        <f t="shared" si="2"/>
        <v>0</v>
      </c>
      <c r="AA63" s="110" t="str">
        <f t="shared" si="3"/>
        <v/>
      </c>
      <c r="AC63" s="166"/>
      <c r="AD63" t="str">
        <f>IF('qPCR Run Entry'!X63="","",'qPCR Run Entry'!X63)</f>
        <v/>
      </c>
      <c r="AE63" t="str">
        <f>IF('qPCR Run Entry'!Y63="","",'qPCR Run Entry'!Y63)</f>
        <v/>
      </c>
      <c r="AF63" s="73" t="str">
        <f>IF('qPCR Run Entry'!Z63="","",'qPCR Run Entry'!Z63)</f>
        <v/>
      </c>
      <c r="AG63" t="s">
        <v>68</v>
      </c>
      <c r="AH63" t="s">
        <v>67</v>
      </c>
      <c r="AI63" s="24"/>
      <c r="AJ63" s="24"/>
      <c r="AK63" s="24"/>
      <c r="AL63" s="62" t="str">
        <f>IF('qPCR Run Entry'!AF63="","",'qPCR Run Entry'!AF63)</f>
        <v/>
      </c>
      <c r="AM63" s="24"/>
      <c r="AN63" s="135">
        <f t="shared" si="4"/>
        <v>0</v>
      </c>
      <c r="AO63" s="110" t="str">
        <f t="shared" si="5"/>
        <v/>
      </c>
    </row>
    <row r="64" spans="1:41" ht="17" customHeight="1" x14ac:dyDescent="0.2">
      <c r="A64" s="174">
        <f>'Sample Metadata'!D32</f>
        <v>0</v>
      </c>
      <c r="B64" t="str">
        <f>IF('qPCR Run Entry'!B64="","",'qPCR Run Entry'!B64)</f>
        <v/>
      </c>
      <c r="C64" t="str">
        <f>IF('qPCR Run Entry'!C64="","",'qPCR Run Entry'!C64)</f>
        <v/>
      </c>
      <c r="D64" s="149" t="str">
        <f>IF('qPCR Run Entry'!D64="","",'qPCR Run Entry'!D64)</f>
        <v/>
      </c>
      <c r="E64" t="s">
        <v>68</v>
      </c>
      <c r="F64" t="s">
        <v>67</v>
      </c>
      <c r="G64" s="24"/>
      <c r="H64" s="24"/>
      <c r="I64" s="24"/>
      <c r="J64" s="62" t="str">
        <f>IF('qPCR Run Entry'!J64="","",'qPCR Run Entry'!J64)</f>
        <v/>
      </c>
      <c r="K64" s="24"/>
      <c r="L64" s="135">
        <f t="shared" si="0"/>
        <v>0</v>
      </c>
      <c r="M64" s="110" t="str">
        <f t="shared" si="1"/>
        <v/>
      </c>
      <c r="O64" s="166">
        <f>A64</f>
        <v>0</v>
      </c>
      <c r="P64" t="str">
        <f>IF('qPCR Run Entry'!M64="","",'qPCR Run Entry'!M64)</f>
        <v/>
      </c>
      <c r="Q64" t="str">
        <f>IF('qPCR Run Entry'!N64="","",'qPCR Run Entry'!N64)</f>
        <v/>
      </c>
      <c r="R64" s="73" t="str">
        <f>IF('qPCR Run Entry'!O64="","",'qPCR Run Entry'!O64)</f>
        <v/>
      </c>
      <c r="S64" t="s">
        <v>68</v>
      </c>
      <c r="T64" t="s">
        <v>67</v>
      </c>
      <c r="U64" s="24"/>
      <c r="V64" s="24"/>
      <c r="W64" s="24"/>
      <c r="X64" s="62" t="str">
        <f>IF('qPCR Run Entry'!U64="","",'qPCR Run Entry'!U64)</f>
        <v/>
      </c>
      <c r="Y64" s="24"/>
      <c r="Z64" s="135">
        <f t="shared" si="2"/>
        <v>0</v>
      </c>
      <c r="AA64" s="110" t="str">
        <f t="shared" si="3"/>
        <v/>
      </c>
      <c r="AC64" s="166">
        <f>O64</f>
        <v>0</v>
      </c>
      <c r="AD64" t="str">
        <f>IF('qPCR Run Entry'!X64="","",'qPCR Run Entry'!X64)</f>
        <v/>
      </c>
      <c r="AE64" t="str">
        <f>IF('qPCR Run Entry'!Y64="","",'qPCR Run Entry'!Y64)</f>
        <v/>
      </c>
      <c r="AF64" s="73" t="str">
        <f>IF('qPCR Run Entry'!Z64="","",'qPCR Run Entry'!Z64)</f>
        <v/>
      </c>
      <c r="AG64" t="s">
        <v>68</v>
      </c>
      <c r="AH64" t="s">
        <v>67</v>
      </c>
      <c r="AI64" s="24"/>
      <c r="AJ64" s="24"/>
      <c r="AK64" s="24"/>
      <c r="AL64" s="62" t="str">
        <f>IF('qPCR Run Entry'!AF64="","",'qPCR Run Entry'!AF64)</f>
        <v/>
      </c>
      <c r="AM64" s="24"/>
      <c r="AN64" s="135">
        <f t="shared" si="4"/>
        <v>0</v>
      </c>
      <c r="AO64" s="110" t="str">
        <f t="shared" si="5"/>
        <v/>
      </c>
    </row>
    <row r="65" spans="1:41" ht="17" customHeight="1" x14ac:dyDescent="0.2">
      <c r="A65" s="165"/>
      <c r="B65" t="str">
        <f>IF('qPCR Run Entry'!B65="","",'qPCR Run Entry'!B65)</f>
        <v/>
      </c>
      <c r="C65" t="str">
        <f>IF('qPCR Run Entry'!C65="","",'qPCR Run Entry'!C65)</f>
        <v/>
      </c>
      <c r="D65" s="149"/>
      <c r="E65" t="s">
        <v>68</v>
      </c>
      <c r="F65" t="s">
        <v>67</v>
      </c>
      <c r="G65" s="24"/>
      <c r="H65" s="24"/>
      <c r="I65" s="24"/>
      <c r="J65" s="62" t="str">
        <f>IF('qPCR Run Entry'!J65="","",'qPCR Run Entry'!J65)</f>
        <v/>
      </c>
      <c r="K65" s="24"/>
      <c r="L65" s="135">
        <f t="shared" si="0"/>
        <v>0</v>
      </c>
      <c r="M65" s="110" t="str">
        <f t="shared" si="1"/>
        <v/>
      </c>
      <c r="O65" s="166"/>
      <c r="P65" t="str">
        <f>IF('qPCR Run Entry'!M65="","",'qPCR Run Entry'!M65)</f>
        <v/>
      </c>
      <c r="Q65" t="str">
        <f>IF('qPCR Run Entry'!N65="","",'qPCR Run Entry'!N65)</f>
        <v/>
      </c>
      <c r="R65" s="73" t="str">
        <f>IF('qPCR Run Entry'!O65="","",'qPCR Run Entry'!O65)</f>
        <v/>
      </c>
      <c r="S65" t="s">
        <v>68</v>
      </c>
      <c r="T65" t="s">
        <v>67</v>
      </c>
      <c r="U65" s="24"/>
      <c r="V65" s="24"/>
      <c r="W65" s="24"/>
      <c r="X65" s="62" t="str">
        <f>IF('qPCR Run Entry'!U65="","",'qPCR Run Entry'!U65)</f>
        <v/>
      </c>
      <c r="Y65" s="24"/>
      <c r="Z65" s="135">
        <f t="shared" si="2"/>
        <v>0</v>
      </c>
      <c r="AA65" s="110" t="str">
        <f t="shared" si="3"/>
        <v/>
      </c>
      <c r="AC65" s="166"/>
      <c r="AD65" t="str">
        <f>IF('qPCR Run Entry'!X65="","",'qPCR Run Entry'!X65)</f>
        <v/>
      </c>
      <c r="AE65" t="str">
        <f>IF('qPCR Run Entry'!Y65="","",'qPCR Run Entry'!Y65)</f>
        <v/>
      </c>
      <c r="AF65" s="73" t="str">
        <f>IF('qPCR Run Entry'!Z65="","",'qPCR Run Entry'!Z65)</f>
        <v/>
      </c>
      <c r="AG65" t="s">
        <v>68</v>
      </c>
      <c r="AH65" t="s">
        <v>67</v>
      </c>
      <c r="AI65" s="24"/>
      <c r="AJ65" s="24"/>
      <c r="AK65" s="24"/>
      <c r="AL65" s="62" t="str">
        <f>IF('qPCR Run Entry'!AF65="","",'qPCR Run Entry'!AF65)</f>
        <v/>
      </c>
      <c r="AM65" s="24"/>
      <c r="AN65" s="135">
        <f t="shared" si="4"/>
        <v>0</v>
      </c>
      <c r="AO65" s="110" t="str">
        <f t="shared" si="5"/>
        <v/>
      </c>
    </row>
    <row r="66" spans="1:41" ht="17" customHeight="1" x14ac:dyDescent="0.2">
      <c r="A66" s="166">
        <f>'Sample Metadata'!D33</f>
        <v>0</v>
      </c>
      <c r="B66" t="str">
        <f>IF('qPCR Run Entry'!B66="","",'qPCR Run Entry'!B66)</f>
        <v/>
      </c>
      <c r="C66" t="str">
        <f>IF('qPCR Run Entry'!C66="","",'qPCR Run Entry'!C66)</f>
        <v/>
      </c>
      <c r="D66" s="149" t="str">
        <f>IF('qPCR Run Entry'!D66="","",'qPCR Run Entry'!D66)</f>
        <v/>
      </c>
      <c r="E66" t="s">
        <v>68</v>
      </c>
      <c r="F66" t="s">
        <v>67</v>
      </c>
      <c r="G66" s="24"/>
      <c r="H66" s="24"/>
      <c r="I66" s="24"/>
      <c r="J66" s="62" t="str">
        <f>IF('qPCR Run Entry'!J66="","",'qPCR Run Entry'!J66)</f>
        <v/>
      </c>
      <c r="K66" s="136"/>
      <c r="L66" s="135">
        <f t="shared" si="0"/>
        <v>0</v>
      </c>
      <c r="M66" s="110" t="str">
        <f t="shared" si="1"/>
        <v/>
      </c>
      <c r="O66" s="166">
        <f>A66</f>
        <v>0</v>
      </c>
      <c r="P66" t="str">
        <f>IF('qPCR Run Entry'!M66="","",'qPCR Run Entry'!M66)</f>
        <v/>
      </c>
      <c r="Q66" t="str">
        <f>IF('qPCR Run Entry'!N66="","",'qPCR Run Entry'!N66)</f>
        <v/>
      </c>
      <c r="R66" s="73" t="str">
        <f>IF('qPCR Run Entry'!O66="","",'qPCR Run Entry'!O66)</f>
        <v/>
      </c>
      <c r="S66" t="s">
        <v>68</v>
      </c>
      <c r="T66" t="s">
        <v>67</v>
      </c>
      <c r="U66" s="24"/>
      <c r="V66" s="24"/>
      <c r="W66" s="24"/>
      <c r="X66" s="62" t="str">
        <f>IF('qPCR Run Entry'!U66="","",'qPCR Run Entry'!U66)</f>
        <v/>
      </c>
      <c r="Y66" s="136"/>
      <c r="Z66" s="135">
        <f t="shared" si="2"/>
        <v>0</v>
      </c>
      <c r="AA66" s="110" t="str">
        <f t="shared" si="3"/>
        <v/>
      </c>
      <c r="AC66" s="166">
        <f>O66</f>
        <v>0</v>
      </c>
      <c r="AD66" t="str">
        <f>IF('qPCR Run Entry'!X66="","",'qPCR Run Entry'!X66)</f>
        <v/>
      </c>
      <c r="AE66" t="str">
        <f>IF('qPCR Run Entry'!Y66="","",'qPCR Run Entry'!Y66)</f>
        <v/>
      </c>
      <c r="AF66" s="73" t="str">
        <f>IF('qPCR Run Entry'!Z66="","",'qPCR Run Entry'!Z66)</f>
        <v/>
      </c>
      <c r="AG66" t="s">
        <v>68</v>
      </c>
      <c r="AH66" t="s">
        <v>67</v>
      </c>
      <c r="AI66" s="24"/>
      <c r="AJ66" s="24"/>
      <c r="AK66" s="24"/>
      <c r="AL66" s="62" t="str">
        <f>IF('qPCR Run Entry'!AF66="","",'qPCR Run Entry'!AF66)</f>
        <v/>
      </c>
      <c r="AM66" s="136"/>
      <c r="AN66" s="135">
        <f t="shared" si="4"/>
        <v>0</v>
      </c>
      <c r="AO66" s="110" t="str">
        <f t="shared" si="5"/>
        <v/>
      </c>
    </row>
    <row r="67" spans="1:41" ht="17" customHeight="1" thickBot="1" x14ac:dyDescent="0.25">
      <c r="A67" s="166"/>
      <c r="B67" t="str">
        <f>IF('qPCR Run Entry'!B67="","",'qPCR Run Entry'!B67)</f>
        <v/>
      </c>
      <c r="C67" t="str">
        <f>IF('qPCR Run Entry'!C67="","",'qPCR Run Entry'!C67)</f>
        <v/>
      </c>
      <c r="D67" s="149"/>
      <c r="E67" t="s">
        <v>68</v>
      </c>
      <c r="F67" t="s">
        <v>67</v>
      </c>
      <c r="G67" s="24"/>
      <c r="H67" s="24"/>
      <c r="I67" s="24"/>
      <c r="J67" s="62" t="str">
        <f>IF('qPCR Run Entry'!J67="","",'qPCR Run Entry'!J67)</f>
        <v/>
      </c>
      <c r="K67" s="136"/>
      <c r="L67" s="135">
        <f t="shared" si="0"/>
        <v>0</v>
      </c>
      <c r="M67" s="110" t="str">
        <f t="shared" si="1"/>
        <v/>
      </c>
      <c r="O67" s="166"/>
      <c r="P67" t="str">
        <f>IF('qPCR Run Entry'!M67="","",'qPCR Run Entry'!M67)</f>
        <v/>
      </c>
      <c r="Q67" t="str">
        <f>IF('qPCR Run Entry'!N67="","",'qPCR Run Entry'!N67)</f>
        <v/>
      </c>
      <c r="R67" s="73" t="str">
        <f>IF('qPCR Run Entry'!O67="","",'qPCR Run Entry'!O67)</f>
        <v/>
      </c>
      <c r="S67" t="s">
        <v>68</v>
      </c>
      <c r="T67" t="s">
        <v>67</v>
      </c>
      <c r="U67" s="24"/>
      <c r="V67" s="24"/>
      <c r="W67" s="24"/>
      <c r="X67" s="62" t="str">
        <f>IF('qPCR Run Entry'!U67="","",'qPCR Run Entry'!U67)</f>
        <v/>
      </c>
      <c r="Y67" s="136"/>
      <c r="Z67" s="135">
        <f t="shared" si="2"/>
        <v>0</v>
      </c>
      <c r="AA67" s="110" t="str">
        <f t="shared" si="3"/>
        <v/>
      </c>
      <c r="AC67" s="175"/>
      <c r="AD67" t="str">
        <f>IF('qPCR Run Entry'!X67="","",'qPCR Run Entry'!X67)</f>
        <v/>
      </c>
      <c r="AE67" t="str">
        <f>IF('qPCR Run Entry'!Y67="","",'qPCR Run Entry'!Y67)</f>
        <v/>
      </c>
      <c r="AF67" s="73" t="str">
        <f>IF('qPCR Run Entry'!Z67="","",'qPCR Run Entry'!Z67)</f>
        <v/>
      </c>
      <c r="AG67" t="s">
        <v>68</v>
      </c>
      <c r="AH67" t="s">
        <v>67</v>
      </c>
      <c r="AI67" s="24"/>
      <c r="AJ67" s="24"/>
      <c r="AK67" s="24"/>
      <c r="AL67" s="62" t="str">
        <f>IF('qPCR Run Entry'!AF67="","",'qPCR Run Entry'!AF67)</f>
        <v/>
      </c>
      <c r="AM67" s="136"/>
      <c r="AN67" s="135">
        <f t="shared" si="4"/>
        <v>0</v>
      </c>
      <c r="AO67" s="110" t="str">
        <f t="shared" si="5"/>
        <v/>
      </c>
    </row>
    <row r="68" spans="1:41" x14ac:dyDescent="0.2">
      <c r="A68" s="166">
        <f>'Sample Metadata'!D34</f>
        <v>0</v>
      </c>
      <c r="B68" t="str">
        <f>IF('qPCR Run Entry'!B68="","",'qPCR Run Entry'!B68)</f>
        <v/>
      </c>
      <c r="C68" t="str">
        <f>IF('qPCR Run Entry'!C68="","",'qPCR Run Entry'!C68)</f>
        <v/>
      </c>
      <c r="D68" s="149" t="str">
        <f>IF('qPCR Run Entry'!D68="","",'qPCR Run Entry'!D68)</f>
        <v/>
      </c>
      <c r="E68" t="s">
        <v>68</v>
      </c>
      <c r="F68" t="s">
        <v>67</v>
      </c>
      <c r="G68" s="24"/>
      <c r="H68" s="24"/>
      <c r="I68" s="24"/>
      <c r="J68" s="62" t="str">
        <f>IF('qPCR Run Entry'!J68="","",'qPCR Run Entry'!J68)</f>
        <v/>
      </c>
      <c r="K68" s="24"/>
      <c r="L68" s="135">
        <f t="shared" si="0"/>
        <v>0</v>
      </c>
      <c r="M68" s="110" t="str">
        <f t="shared" si="1"/>
        <v/>
      </c>
      <c r="O68" s="166">
        <f>A68</f>
        <v>0</v>
      </c>
      <c r="P68" t="str">
        <f>IF('qPCR Run Entry'!O68="","",'qPCR Run Entry'!O68)</f>
        <v/>
      </c>
      <c r="Q68" t="str">
        <f>IF('qPCR Run Entry'!P68="","",'qPCR Run Entry'!P68)</f>
        <v/>
      </c>
      <c r="R68" s="149" t="str">
        <f>IF('qPCR Run Entry'!Q68="","",'qPCR Run Entry'!Q68)</f>
        <v/>
      </c>
      <c r="S68" t="s">
        <v>68</v>
      </c>
      <c r="T68" t="s">
        <v>67</v>
      </c>
      <c r="X68" s="62" t="str">
        <f>IF('qPCR Run Entry'!U68="","",'qPCR Run Entry'!U68)</f>
        <v/>
      </c>
      <c r="Y68" s="24"/>
      <c r="Z68" s="135">
        <f t="shared" si="2"/>
        <v>0</v>
      </c>
      <c r="AA68" s="110" t="str">
        <f t="shared" si="3"/>
        <v/>
      </c>
      <c r="AC68" s="166">
        <f t="shared" ref="AC68" si="6">O68</f>
        <v>0</v>
      </c>
      <c r="AD68" t="str">
        <f>IF('qPCR Run Entry'!AB68="","",'qPCR Run Entry'!AB68)</f>
        <v/>
      </c>
      <c r="AE68" t="str">
        <f>IF('qPCR Run Entry'!AC68="","",'qPCR Run Entry'!AC68)</f>
        <v/>
      </c>
      <c r="AF68" s="149" t="str">
        <f>IF('qPCR Run Entry'!AD68="","",'qPCR Run Entry'!AD68)</f>
        <v/>
      </c>
      <c r="AG68" t="s">
        <v>68</v>
      </c>
      <c r="AH68" t="s">
        <v>67</v>
      </c>
      <c r="AL68" s="62" t="str">
        <f>IF('qPCR Run Entry'!AJ68="","",'qPCR Run Entry'!AJ68)</f>
        <v/>
      </c>
      <c r="AM68" s="24"/>
      <c r="AN68" s="135">
        <f t="shared" si="4"/>
        <v>0</v>
      </c>
      <c r="AO68" s="110" t="str">
        <f t="shared" si="5"/>
        <v/>
      </c>
    </row>
    <row r="69" spans="1:41" x14ac:dyDescent="0.2">
      <c r="A69" s="166"/>
      <c r="B69" t="str">
        <f>IF('qPCR Run Entry'!B69="","",'qPCR Run Entry'!B69)</f>
        <v/>
      </c>
      <c r="C69" t="str">
        <f>IF('qPCR Run Entry'!C69="","",'qPCR Run Entry'!C69)</f>
        <v/>
      </c>
      <c r="D69" s="149"/>
      <c r="E69" t="s">
        <v>68</v>
      </c>
      <c r="F69" t="s">
        <v>67</v>
      </c>
      <c r="G69" s="24"/>
      <c r="H69" s="24"/>
      <c r="I69" s="24"/>
      <c r="J69" s="62" t="str">
        <f>IF('qPCR Run Entry'!J69="","",'qPCR Run Entry'!J69)</f>
        <v/>
      </c>
      <c r="K69" s="24"/>
      <c r="L69" s="135">
        <f t="shared" ref="L69:L87" si="7">G69-K69</f>
        <v>0</v>
      </c>
      <c r="M69" s="110" t="str">
        <f t="shared" ref="M69:M132" si="8">IF(ISNUMBER(K69),IF(ABS(L69)&gt;1.5, "FAIL", "Pass"),"")</f>
        <v/>
      </c>
      <c r="O69" s="166"/>
      <c r="P69" t="str">
        <f>IF('qPCR Run Entry'!O69="","",'qPCR Run Entry'!O69)</f>
        <v/>
      </c>
      <c r="Q69" t="str">
        <f>IF('qPCR Run Entry'!P69="","",'qPCR Run Entry'!P69)</f>
        <v/>
      </c>
      <c r="R69" s="149"/>
      <c r="S69" t="s">
        <v>68</v>
      </c>
      <c r="T69" t="s">
        <v>67</v>
      </c>
      <c r="X69" s="62" t="str">
        <f>IF('qPCR Run Entry'!U69="","",'qPCR Run Entry'!U69)</f>
        <v/>
      </c>
      <c r="Y69" s="24"/>
      <c r="Z69" s="135">
        <f t="shared" ref="Z69:Z87" si="9">U69-Y69</f>
        <v>0</v>
      </c>
      <c r="AA69" s="110" t="str">
        <f t="shared" ref="AA69:AA132" si="10">IF(ISNUMBER(Y69),IF(ABS(Z69)&gt;1.5, "FAIL", "Pass"),"")</f>
        <v/>
      </c>
      <c r="AC69" s="166"/>
      <c r="AD69" t="str">
        <f>IF('qPCR Run Entry'!AB69="","",'qPCR Run Entry'!AB69)</f>
        <v/>
      </c>
      <c r="AE69" t="str">
        <f>IF('qPCR Run Entry'!AC69="","",'qPCR Run Entry'!AC69)</f>
        <v/>
      </c>
      <c r="AF69" s="149"/>
      <c r="AG69" t="s">
        <v>68</v>
      </c>
      <c r="AH69" t="s">
        <v>67</v>
      </c>
      <c r="AL69" s="62" t="str">
        <f>IF('qPCR Run Entry'!AJ69="","",'qPCR Run Entry'!AJ69)</f>
        <v/>
      </c>
      <c r="AM69" s="24"/>
      <c r="AN69" s="135">
        <f t="shared" ref="AN69:AN87" si="11">AI69-AM69</f>
        <v>0</v>
      </c>
      <c r="AO69" s="110" t="str">
        <f t="shared" ref="AO69:AO132" si="12">IF(ISNUMBER(AM69),IF(ABS(AN69)&gt;1.5, "FAIL", "Pass"),"")</f>
        <v/>
      </c>
    </row>
    <row r="70" spans="1:41" x14ac:dyDescent="0.2">
      <c r="A70" s="166">
        <f>'Sample Metadata'!D35</f>
        <v>0</v>
      </c>
      <c r="B70" t="str">
        <f>IF('qPCR Run Entry'!B70="","",'qPCR Run Entry'!B70)</f>
        <v/>
      </c>
      <c r="C70" t="str">
        <f>IF('qPCR Run Entry'!C70="","",'qPCR Run Entry'!C70)</f>
        <v/>
      </c>
      <c r="D70" s="149" t="str">
        <f>IF('qPCR Run Entry'!D70="","",'qPCR Run Entry'!D70)</f>
        <v/>
      </c>
      <c r="E70" t="s">
        <v>68</v>
      </c>
      <c r="F70" t="s">
        <v>67</v>
      </c>
      <c r="G70" s="24"/>
      <c r="H70" s="24"/>
      <c r="I70" s="24"/>
      <c r="J70" s="62" t="str">
        <f>IF('qPCR Run Entry'!J70="","",'qPCR Run Entry'!J70)</f>
        <v/>
      </c>
      <c r="K70" s="136"/>
      <c r="L70" s="135">
        <f t="shared" si="7"/>
        <v>0</v>
      </c>
      <c r="M70" s="110" t="str">
        <f t="shared" si="8"/>
        <v/>
      </c>
      <c r="O70" s="166">
        <f>A70</f>
        <v>0</v>
      </c>
      <c r="P70" t="str">
        <f>IF('qPCR Run Entry'!O70="","",'qPCR Run Entry'!O70)</f>
        <v/>
      </c>
      <c r="Q70" t="str">
        <f>IF('qPCR Run Entry'!P70="","",'qPCR Run Entry'!P70)</f>
        <v/>
      </c>
      <c r="R70" s="149" t="str">
        <f>IF('qPCR Run Entry'!Q70="","",'qPCR Run Entry'!Q70)</f>
        <v/>
      </c>
      <c r="S70" t="s">
        <v>68</v>
      </c>
      <c r="T70" t="s">
        <v>67</v>
      </c>
      <c r="X70" s="62" t="str">
        <f>IF('qPCR Run Entry'!U70="","",'qPCR Run Entry'!U70)</f>
        <v/>
      </c>
      <c r="Y70" s="136"/>
      <c r="Z70" s="135">
        <f t="shared" si="9"/>
        <v>0</v>
      </c>
      <c r="AA70" s="110" t="str">
        <f t="shared" si="10"/>
        <v/>
      </c>
      <c r="AC70" s="166">
        <f t="shared" ref="AC70" si="13">O70</f>
        <v>0</v>
      </c>
      <c r="AD70" t="str">
        <f>IF('qPCR Run Entry'!AB70="","",'qPCR Run Entry'!AB70)</f>
        <v/>
      </c>
      <c r="AE70" t="str">
        <f>IF('qPCR Run Entry'!AC70="","",'qPCR Run Entry'!AC70)</f>
        <v/>
      </c>
      <c r="AF70" s="149" t="str">
        <f>IF('qPCR Run Entry'!AD70="","",'qPCR Run Entry'!AD70)</f>
        <v/>
      </c>
      <c r="AG70" t="s">
        <v>68</v>
      </c>
      <c r="AH70" t="s">
        <v>67</v>
      </c>
      <c r="AL70" s="62" t="str">
        <f>IF('qPCR Run Entry'!AJ70="","",'qPCR Run Entry'!AJ70)</f>
        <v/>
      </c>
      <c r="AM70" s="136"/>
      <c r="AN70" s="135">
        <f t="shared" si="11"/>
        <v>0</v>
      </c>
      <c r="AO70" s="110" t="str">
        <f t="shared" si="12"/>
        <v/>
      </c>
    </row>
    <row r="71" spans="1:41" x14ac:dyDescent="0.2">
      <c r="A71" s="166"/>
      <c r="B71" t="str">
        <f>IF('qPCR Run Entry'!B71="","",'qPCR Run Entry'!B71)</f>
        <v/>
      </c>
      <c r="C71" t="str">
        <f>IF('qPCR Run Entry'!C71="","",'qPCR Run Entry'!C71)</f>
        <v/>
      </c>
      <c r="D71" s="149"/>
      <c r="E71" t="s">
        <v>68</v>
      </c>
      <c r="F71" t="s">
        <v>67</v>
      </c>
      <c r="G71" s="24"/>
      <c r="H71" s="24"/>
      <c r="I71" s="24"/>
      <c r="J71" s="62" t="str">
        <f>IF('qPCR Run Entry'!J71="","",'qPCR Run Entry'!J71)</f>
        <v/>
      </c>
      <c r="K71" s="136"/>
      <c r="L71" s="135">
        <f t="shared" si="7"/>
        <v>0</v>
      </c>
      <c r="M71" s="110" t="str">
        <f t="shared" si="8"/>
        <v/>
      </c>
      <c r="O71" s="166"/>
      <c r="P71" t="str">
        <f>IF('qPCR Run Entry'!O71="","",'qPCR Run Entry'!O71)</f>
        <v/>
      </c>
      <c r="Q71" t="str">
        <f>IF('qPCR Run Entry'!P71="","",'qPCR Run Entry'!P71)</f>
        <v/>
      </c>
      <c r="R71" s="149"/>
      <c r="S71" t="s">
        <v>68</v>
      </c>
      <c r="T71" t="s">
        <v>67</v>
      </c>
      <c r="X71" s="62" t="str">
        <f>IF('qPCR Run Entry'!U71="","",'qPCR Run Entry'!U71)</f>
        <v/>
      </c>
      <c r="Y71" s="136"/>
      <c r="Z71" s="135">
        <f t="shared" si="9"/>
        <v>0</v>
      </c>
      <c r="AA71" s="110" t="str">
        <f t="shared" si="10"/>
        <v/>
      </c>
      <c r="AC71" s="166"/>
      <c r="AD71" t="str">
        <f>IF('qPCR Run Entry'!AB71="","",'qPCR Run Entry'!AB71)</f>
        <v/>
      </c>
      <c r="AE71" t="str">
        <f>IF('qPCR Run Entry'!AC71="","",'qPCR Run Entry'!AC71)</f>
        <v/>
      </c>
      <c r="AF71" s="149"/>
      <c r="AG71" t="s">
        <v>68</v>
      </c>
      <c r="AH71" t="s">
        <v>67</v>
      </c>
      <c r="AL71" s="62" t="str">
        <f>IF('qPCR Run Entry'!AJ71="","",'qPCR Run Entry'!AJ71)</f>
        <v/>
      </c>
      <c r="AM71" s="136"/>
      <c r="AN71" s="135">
        <f t="shared" si="11"/>
        <v>0</v>
      </c>
      <c r="AO71" s="110" t="str">
        <f t="shared" si="12"/>
        <v/>
      </c>
    </row>
    <row r="72" spans="1:41" x14ac:dyDescent="0.2">
      <c r="A72" s="166">
        <f>'Sample Metadata'!D36</f>
        <v>0</v>
      </c>
      <c r="B72" t="str">
        <f>IF('qPCR Run Entry'!B72="","",'qPCR Run Entry'!B72)</f>
        <v/>
      </c>
      <c r="C72" t="str">
        <f>IF('qPCR Run Entry'!C72="","",'qPCR Run Entry'!C72)</f>
        <v/>
      </c>
      <c r="D72" s="149" t="str">
        <f>IF('qPCR Run Entry'!D72="","",'qPCR Run Entry'!D72)</f>
        <v/>
      </c>
      <c r="E72" t="s">
        <v>68</v>
      </c>
      <c r="F72" t="s">
        <v>67</v>
      </c>
      <c r="G72" s="24"/>
      <c r="H72" s="24"/>
      <c r="I72" s="24"/>
      <c r="J72" s="62" t="str">
        <f>IF('qPCR Run Entry'!J72="","",'qPCR Run Entry'!J72)</f>
        <v/>
      </c>
      <c r="K72" s="24"/>
      <c r="L72" s="135">
        <f t="shared" si="7"/>
        <v>0</v>
      </c>
      <c r="M72" s="110" t="str">
        <f t="shared" si="8"/>
        <v/>
      </c>
      <c r="O72" s="166">
        <f>A72</f>
        <v>0</v>
      </c>
      <c r="P72" t="str">
        <f>IF('qPCR Run Entry'!O72="","",'qPCR Run Entry'!O72)</f>
        <v/>
      </c>
      <c r="Q72" t="str">
        <f>IF('qPCR Run Entry'!P72="","",'qPCR Run Entry'!P72)</f>
        <v/>
      </c>
      <c r="R72" s="149" t="str">
        <f>IF('qPCR Run Entry'!Q72="","",'qPCR Run Entry'!Q72)</f>
        <v/>
      </c>
      <c r="S72" t="s">
        <v>68</v>
      </c>
      <c r="T72" t="s">
        <v>67</v>
      </c>
      <c r="X72" s="62" t="str">
        <f>IF('qPCR Run Entry'!U72="","",'qPCR Run Entry'!U72)</f>
        <v/>
      </c>
      <c r="Y72" s="24"/>
      <c r="Z72" s="135">
        <f t="shared" si="9"/>
        <v>0</v>
      </c>
      <c r="AA72" s="110" t="str">
        <f t="shared" si="10"/>
        <v/>
      </c>
      <c r="AC72" s="166">
        <f t="shared" ref="AC72" si="14">O72</f>
        <v>0</v>
      </c>
      <c r="AD72" t="str">
        <f>IF('qPCR Run Entry'!AB72="","",'qPCR Run Entry'!AB72)</f>
        <v/>
      </c>
      <c r="AE72" t="str">
        <f>IF('qPCR Run Entry'!AC72="","",'qPCR Run Entry'!AC72)</f>
        <v/>
      </c>
      <c r="AF72" s="149" t="str">
        <f>IF('qPCR Run Entry'!AD72="","",'qPCR Run Entry'!AD72)</f>
        <v/>
      </c>
      <c r="AG72" t="s">
        <v>68</v>
      </c>
      <c r="AH72" t="s">
        <v>67</v>
      </c>
      <c r="AL72" s="62" t="str">
        <f>IF('qPCR Run Entry'!AJ72="","",'qPCR Run Entry'!AJ72)</f>
        <v/>
      </c>
      <c r="AM72" s="24"/>
      <c r="AN72" s="135">
        <f t="shared" si="11"/>
        <v>0</v>
      </c>
      <c r="AO72" s="110" t="str">
        <f t="shared" si="12"/>
        <v/>
      </c>
    </row>
    <row r="73" spans="1:41" ht="17" thickBot="1" x14ac:dyDescent="0.25">
      <c r="A73" s="166"/>
      <c r="B73" t="str">
        <f>IF('qPCR Run Entry'!B73="","",'qPCR Run Entry'!B73)</f>
        <v/>
      </c>
      <c r="C73" t="str">
        <f>IF('qPCR Run Entry'!C73="","",'qPCR Run Entry'!C73)</f>
        <v/>
      </c>
      <c r="D73" s="149"/>
      <c r="E73" t="s">
        <v>68</v>
      </c>
      <c r="F73" t="s">
        <v>67</v>
      </c>
      <c r="G73" s="24"/>
      <c r="H73" s="24"/>
      <c r="I73" s="24"/>
      <c r="J73" s="62" t="str">
        <f>IF('qPCR Run Entry'!J73="","",'qPCR Run Entry'!J73)</f>
        <v/>
      </c>
      <c r="K73" s="24"/>
      <c r="L73" s="135">
        <f t="shared" si="7"/>
        <v>0</v>
      </c>
      <c r="M73" s="110" t="str">
        <f t="shared" si="8"/>
        <v/>
      </c>
      <c r="O73" s="166"/>
      <c r="P73" t="str">
        <f>IF('qPCR Run Entry'!O73="","",'qPCR Run Entry'!O73)</f>
        <v/>
      </c>
      <c r="Q73" t="str">
        <f>IF('qPCR Run Entry'!P73="","",'qPCR Run Entry'!P73)</f>
        <v/>
      </c>
      <c r="R73" s="149"/>
      <c r="S73" t="s">
        <v>68</v>
      </c>
      <c r="T73" t="s">
        <v>67</v>
      </c>
      <c r="X73" s="62" t="str">
        <f>IF('qPCR Run Entry'!U73="","",'qPCR Run Entry'!U73)</f>
        <v/>
      </c>
      <c r="Y73" s="24"/>
      <c r="Z73" s="135">
        <f t="shared" si="9"/>
        <v>0</v>
      </c>
      <c r="AA73" s="110" t="str">
        <f t="shared" si="10"/>
        <v/>
      </c>
      <c r="AC73" s="175"/>
      <c r="AD73" t="str">
        <f>IF('qPCR Run Entry'!AB73="","",'qPCR Run Entry'!AB73)</f>
        <v/>
      </c>
      <c r="AE73" t="str">
        <f>IF('qPCR Run Entry'!AC73="","",'qPCR Run Entry'!AC73)</f>
        <v/>
      </c>
      <c r="AF73" s="149"/>
      <c r="AG73" t="s">
        <v>68</v>
      </c>
      <c r="AH73" t="s">
        <v>67</v>
      </c>
      <c r="AL73" s="62" t="str">
        <f>IF('qPCR Run Entry'!AJ73="","",'qPCR Run Entry'!AJ73)</f>
        <v/>
      </c>
      <c r="AM73" s="24"/>
      <c r="AN73" s="135">
        <f t="shared" si="11"/>
        <v>0</v>
      </c>
      <c r="AO73" s="110" t="str">
        <f t="shared" si="12"/>
        <v/>
      </c>
    </row>
    <row r="74" spans="1:41" x14ac:dyDescent="0.2">
      <c r="A74" s="166">
        <f>'Sample Metadata'!D37</f>
        <v>0</v>
      </c>
      <c r="B74" t="str">
        <f>IF('qPCR Run Entry'!B74="","",'qPCR Run Entry'!B74)</f>
        <v/>
      </c>
      <c r="C74" t="str">
        <f>IF('qPCR Run Entry'!C74="","",'qPCR Run Entry'!C74)</f>
        <v/>
      </c>
      <c r="D74" s="149" t="str">
        <f>IF('qPCR Run Entry'!D74="","",'qPCR Run Entry'!D74)</f>
        <v/>
      </c>
      <c r="E74" t="s">
        <v>68</v>
      </c>
      <c r="F74" t="s">
        <v>67</v>
      </c>
      <c r="G74" s="24"/>
      <c r="H74" s="24"/>
      <c r="I74" s="24"/>
      <c r="J74" s="62" t="str">
        <f>IF('qPCR Run Entry'!J74="","",'qPCR Run Entry'!J74)</f>
        <v/>
      </c>
      <c r="K74" s="136"/>
      <c r="L74" s="135">
        <f t="shared" si="7"/>
        <v>0</v>
      </c>
      <c r="M74" s="110" t="str">
        <f t="shared" si="8"/>
        <v/>
      </c>
      <c r="O74" s="166">
        <f>A74</f>
        <v>0</v>
      </c>
      <c r="P74" t="str">
        <f>IF('qPCR Run Entry'!O74="","",'qPCR Run Entry'!O74)</f>
        <v/>
      </c>
      <c r="Q74" t="str">
        <f>IF('qPCR Run Entry'!P74="","",'qPCR Run Entry'!P74)</f>
        <v/>
      </c>
      <c r="R74" s="149" t="str">
        <f>IF('qPCR Run Entry'!Q74="","",'qPCR Run Entry'!Q74)</f>
        <v/>
      </c>
      <c r="S74" t="s">
        <v>68</v>
      </c>
      <c r="T74" t="s">
        <v>67</v>
      </c>
      <c r="X74" s="62" t="str">
        <f>IF('qPCR Run Entry'!U74="","",'qPCR Run Entry'!U74)</f>
        <v/>
      </c>
      <c r="Y74" s="136"/>
      <c r="Z74" s="135">
        <f t="shared" si="9"/>
        <v>0</v>
      </c>
      <c r="AA74" s="110" t="str">
        <f t="shared" si="10"/>
        <v/>
      </c>
      <c r="AC74" s="166">
        <f t="shared" ref="AC74" si="15">O74</f>
        <v>0</v>
      </c>
      <c r="AD74" t="str">
        <f>IF('qPCR Run Entry'!AB74="","",'qPCR Run Entry'!AB74)</f>
        <v/>
      </c>
      <c r="AE74" t="str">
        <f>IF('qPCR Run Entry'!AC74="","",'qPCR Run Entry'!AC74)</f>
        <v/>
      </c>
      <c r="AF74" s="149" t="str">
        <f>IF('qPCR Run Entry'!AD74="","",'qPCR Run Entry'!AD74)</f>
        <v/>
      </c>
      <c r="AG74" t="s">
        <v>68</v>
      </c>
      <c r="AH74" t="s">
        <v>67</v>
      </c>
      <c r="AL74" s="62" t="str">
        <f>IF('qPCR Run Entry'!AJ74="","",'qPCR Run Entry'!AJ74)</f>
        <v/>
      </c>
      <c r="AM74" s="136"/>
      <c r="AN74" s="135">
        <f t="shared" si="11"/>
        <v>0</v>
      </c>
      <c r="AO74" s="110" t="str">
        <f t="shared" si="12"/>
        <v/>
      </c>
    </row>
    <row r="75" spans="1:41" x14ac:dyDescent="0.2">
      <c r="A75" s="166"/>
      <c r="B75" t="str">
        <f>IF('qPCR Run Entry'!B75="","",'qPCR Run Entry'!B75)</f>
        <v/>
      </c>
      <c r="C75" t="str">
        <f>IF('qPCR Run Entry'!C75="","",'qPCR Run Entry'!C75)</f>
        <v/>
      </c>
      <c r="D75" s="149"/>
      <c r="E75" t="s">
        <v>68</v>
      </c>
      <c r="F75" t="s">
        <v>67</v>
      </c>
      <c r="G75" s="24"/>
      <c r="H75" s="24"/>
      <c r="I75" s="24"/>
      <c r="J75" s="62" t="str">
        <f>IF('qPCR Run Entry'!J75="","",'qPCR Run Entry'!J75)</f>
        <v/>
      </c>
      <c r="K75" s="136"/>
      <c r="L75" s="135">
        <f t="shared" si="7"/>
        <v>0</v>
      </c>
      <c r="M75" s="110" t="str">
        <f t="shared" si="8"/>
        <v/>
      </c>
      <c r="O75" s="166"/>
      <c r="P75" t="str">
        <f>IF('qPCR Run Entry'!O75="","",'qPCR Run Entry'!O75)</f>
        <v/>
      </c>
      <c r="Q75" t="str">
        <f>IF('qPCR Run Entry'!P75="","",'qPCR Run Entry'!P75)</f>
        <v/>
      </c>
      <c r="R75" s="149"/>
      <c r="S75" t="s">
        <v>68</v>
      </c>
      <c r="T75" t="s">
        <v>67</v>
      </c>
      <c r="X75" s="62" t="str">
        <f>IF('qPCR Run Entry'!U75="","",'qPCR Run Entry'!U75)</f>
        <v/>
      </c>
      <c r="Y75" s="136"/>
      <c r="Z75" s="135">
        <f t="shared" si="9"/>
        <v>0</v>
      </c>
      <c r="AA75" s="110" t="str">
        <f t="shared" si="10"/>
        <v/>
      </c>
      <c r="AC75" s="166"/>
      <c r="AD75" t="str">
        <f>IF('qPCR Run Entry'!AB75="","",'qPCR Run Entry'!AB75)</f>
        <v/>
      </c>
      <c r="AE75" t="str">
        <f>IF('qPCR Run Entry'!AC75="","",'qPCR Run Entry'!AC75)</f>
        <v/>
      </c>
      <c r="AF75" s="149"/>
      <c r="AG75" t="s">
        <v>68</v>
      </c>
      <c r="AH75" t="s">
        <v>67</v>
      </c>
      <c r="AL75" s="62" t="str">
        <f>IF('qPCR Run Entry'!AJ75="","",'qPCR Run Entry'!AJ75)</f>
        <v/>
      </c>
      <c r="AM75" s="136"/>
      <c r="AN75" s="135">
        <f t="shared" si="11"/>
        <v>0</v>
      </c>
      <c r="AO75" s="110" t="str">
        <f t="shared" si="12"/>
        <v/>
      </c>
    </row>
    <row r="76" spans="1:41" x14ac:dyDescent="0.2">
      <c r="A76" s="166">
        <f>'Sample Metadata'!D38</f>
        <v>0</v>
      </c>
      <c r="B76" t="str">
        <f>IF('qPCR Run Entry'!B76="","",'qPCR Run Entry'!B76)</f>
        <v/>
      </c>
      <c r="C76" t="str">
        <f>IF('qPCR Run Entry'!C76="","",'qPCR Run Entry'!C76)</f>
        <v/>
      </c>
      <c r="D76" s="149" t="str">
        <f>IF('qPCR Run Entry'!D76="","",'qPCR Run Entry'!D76)</f>
        <v/>
      </c>
      <c r="E76" t="s">
        <v>68</v>
      </c>
      <c r="F76" t="s">
        <v>67</v>
      </c>
      <c r="G76" s="24"/>
      <c r="H76" s="24"/>
      <c r="I76" s="24"/>
      <c r="J76" s="62" t="str">
        <f>IF('qPCR Run Entry'!J76="","",'qPCR Run Entry'!J76)</f>
        <v/>
      </c>
      <c r="K76" s="136"/>
      <c r="L76" s="135">
        <f t="shared" si="7"/>
        <v>0</v>
      </c>
      <c r="M76" s="110" t="str">
        <f t="shared" si="8"/>
        <v/>
      </c>
      <c r="O76" s="166">
        <f>A76</f>
        <v>0</v>
      </c>
      <c r="P76" t="str">
        <f>IF('qPCR Run Entry'!O76="","",'qPCR Run Entry'!O76)</f>
        <v/>
      </c>
      <c r="Q76" t="str">
        <f>IF('qPCR Run Entry'!P76="","",'qPCR Run Entry'!P76)</f>
        <v/>
      </c>
      <c r="R76" s="149" t="str">
        <f>IF('qPCR Run Entry'!Q76="","",'qPCR Run Entry'!Q76)</f>
        <v/>
      </c>
      <c r="S76" t="s">
        <v>68</v>
      </c>
      <c r="T76" t="s">
        <v>67</v>
      </c>
      <c r="X76" s="62" t="str">
        <f>IF('qPCR Run Entry'!U76="","",'qPCR Run Entry'!U76)</f>
        <v/>
      </c>
      <c r="Y76" s="136"/>
      <c r="Z76" s="135">
        <f t="shared" si="9"/>
        <v>0</v>
      </c>
      <c r="AA76" s="110" t="str">
        <f t="shared" si="10"/>
        <v/>
      </c>
      <c r="AC76" s="166">
        <f t="shared" ref="AC76" si="16">O76</f>
        <v>0</v>
      </c>
      <c r="AD76" t="str">
        <f>IF('qPCR Run Entry'!AB76="","",'qPCR Run Entry'!AB76)</f>
        <v/>
      </c>
      <c r="AE76" t="str">
        <f>IF('qPCR Run Entry'!AC76="","",'qPCR Run Entry'!AC76)</f>
        <v/>
      </c>
      <c r="AF76" s="149" t="str">
        <f>IF('qPCR Run Entry'!AD76="","",'qPCR Run Entry'!AD76)</f>
        <v/>
      </c>
      <c r="AG76" t="s">
        <v>68</v>
      </c>
      <c r="AH76" t="s">
        <v>67</v>
      </c>
      <c r="AL76" s="62" t="str">
        <f>IF('qPCR Run Entry'!AJ76="","",'qPCR Run Entry'!AJ76)</f>
        <v/>
      </c>
      <c r="AM76" s="136"/>
      <c r="AN76" s="135">
        <f t="shared" si="11"/>
        <v>0</v>
      </c>
      <c r="AO76" s="110" t="str">
        <f t="shared" si="12"/>
        <v/>
      </c>
    </row>
    <row r="77" spans="1:41" x14ac:dyDescent="0.2">
      <c r="A77" s="166"/>
      <c r="B77" t="str">
        <f>IF('qPCR Run Entry'!B77="","",'qPCR Run Entry'!B77)</f>
        <v/>
      </c>
      <c r="C77" t="str">
        <f>IF('qPCR Run Entry'!C77="","",'qPCR Run Entry'!C77)</f>
        <v/>
      </c>
      <c r="D77" s="149"/>
      <c r="E77" t="s">
        <v>68</v>
      </c>
      <c r="F77" t="s">
        <v>67</v>
      </c>
      <c r="G77" s="24"/>
      <c r="H77" s="24"/>
      <c r="I77" s="24"/>
      <c r="J77" s="62" t="str">
        <f>IF('qPCR Run Entry'!J77="","",'qPCR Run Entry'!J77)</f>
        <v/>
      </c>
      <c r="K77" s="136"/>
      <c r="L77" s="135">
        <f t="shared" si="7"/>
        <v>0</v>
      </c>
      <c r="M77" s="110" t="str">
        <f t="shared" si="8"/>
        <v/>
      </c>
      <c r="O77" s="166"/>
      <c r="P77" t="str">
        <f>IF('qPCR Run Entry'!O77="","",'qPCR Run Entry'!O77)</f>
        <v/>
      </c>
      <c r="Q77" t="str">
        <f>IF('qPCR Run Entry'!P77="","",'qPCR Run Entry'!P77)</f>
        <v/>
      </c>
      <c r="R77" s="149"/>
      <c r="S77" t="s">
        <v>68</v>
      </c>
      <c r="T77" t="s">
        <v>67</v>
      </c>
      <c r="X77" s="62" t="str">
        <f>IF('qPCR Run Entry'!U77="","",'qPCR Run Entry'!U77)</f>
        <v/>
      </c>
      <c r="Y77" s="136"/>
      <c r="Z77" s="135">
        <f t="shared" si="9"/>
        <v>0</v>
      </c>
      <c r="AA77" s="110" t="str">
        <f t="shared" si="10"/>
        <v/>
      </c>
      <c r="AC77" s="166"/>
      <c r="AD77" t="str">
        <f>IF('qPCR Run Entry'!AB77="","",'qPCR Run Entry'!AB77)</f>
        <v/>
      </c>
      <c r="AE77" t="str">
        <f>IF('qPCR Run Entry'!AC77="","",'qPCR Run Entry'!AC77)</f>
        <v/>
      </c>
      <c r="AF77" s="149"/>
      <c r="AG77" t="s">
        <v>68</v>
      </c>
      <c r="AH77" t="s">
        <v>67</v>
      </c>
      <c r="AL77" s="62" t="str">
        <f>IF('qPCR Run Entry'!AJ77="","",'qPCR Run Entry'!AJ77)</f>
        <v/>
      </c>
      <c r="AM77" s="136"/>
      <c r="AN77" s="135">
        <f t="shared" si="11"/>
        <v>0</v>
      </c>
      <c r="AO77" s="110" t="str">
        <f t="shared" si="12"/>
        <v/>
      </c>
    </row>
    <row r="78" spans="1:41" x14ac:dyDescent="0.2">
      <c r="A78" s="166">
        <f>'Sample Metadata'!D39</f>
        <v>0</v>
      </c>
      <c r="B78" t="str">
        <f>IF('qPCR Run Entry'!B78="","",'qPCR Run Entry'!B78)</f>
        <v/>
      </c>
      <c r="C78" t="str">
        <f>IF('qPCR Run Entry'!C78="","",'qPCR Run Entry'!C78)</f>
        <v/>
      </c>
      <c r="D78" s="149" t="str">
        <f>IF('qPCR Run Entry'!D78="","",'qPCR Run Entry'!D78)</f>
        <v/>
      </c>
      <c r="E78" t="s">
        <v>68</v>
      </c>
      <c r="F78" t="s">
        <v>67</v>
      </c>
      <c r="G78" s="24"/>
      <c r="H78" s="24"/>
      <c r="I78" s="24"/>
      <c r="J78" s="62" t="str">
        <f>IF('qPCR Run Entry'!J78="","",'qPCR Run Entry'!J78)</f>
        <v/>
      </c>
      <c r="K78" s="136"/>
      <c r="L78" s="135">
        <f t="shared" si="7"/>
        <v>0</v>
      </c>
      <c r="M78" s="110" t="str">
        <f t="shared" si="8"/>
        <v/>
      </c>
      <c r="O78" s="166">
        <f>A78</f>
        <v>0</v>
      </c>
      <c r="P78" t="str">
        <f>IF('qPCR Run Entry'!O78="","",'qPCR Run Entry'!O78)</f>
        <v/>
      </c>
      <c r="Q78" t="str">
        <f>IF('qPCR Run Entry'!P78="","",'qPCR Run Entry'!P78)</f>
        <v/>
      </c>
      <c r="R78" s="149" t="str">
        <f>IF('qPCR Run Entry'!Q78="","",'qPCR Run Entry'!Q78)</f>
        <v/>
      </c>
      <c r="S78" t="s">
        <v>68</v>
      </c>
      <c r="T78" t="s">
        <v>67</v>
      </c>
      <c r="X78" s="62" t="str">
        <f>IF('qPCR Run Entry'!U78="","",'qPCR Run Entry'!U78)</f>
        <v/>
      </c>
      <c r="Y78" s="136"/>
      <c r="Z78" s="135">
        <f t="shared" si="9"/>
        <v>0</v>
      </c>
      <c r="AA78" s="110" t="str">
        <f t="shared" si="10"/>
        <v/>
      </c>
      <c r="AC78" s="166">
        <f t="shared" ref="AC78" si="17">O78</f>
        <v>0</v>
      </c>
      <c r="AD78" t="str">
        <f>IF('qPCR Run Entry'!AB78="","",'qPCR Run Entry'!AB78)</f>
        <v/>
      </c>
      <c r="AE78" t="str">
        <f>IF('qPCR Run Entry'!AC78="","",'qPCR Run Entry'!AC78)</f>
        <v/>
      </c>
      <c r="AF78" s="149" t="str">
        <f>IF('qPCR Run Entry'!AD78="","",'qPCR Run Entry'!AD78)</f>
        <v/>
      </c>
      <c r="AG78" t="s">
        <v>68</v>
      </c>
      <c r="AH78" t="s">
        <v>67</v>
      </c>
      <c r="AL78" s="62" t="str">
        <f>IF('qPCR Run Entry'!AJ78="","",'qPCR Run Entry'!AJ78)</f>
        <v/>
      </c>
      <c r="AM78" s="136"/>
      <c r="AN78" s="135">
        <f t="shared" si="11"/>
        <v>0</v>
      </c>
      <c r="AO78" s="110" t="str">
        <f t="shared" si="12"/>
        <v/>
      </c>
    </row>
    <row r="79" spans="1:41" ht="17" thickBot="1" x14ac:dyDescent="0.25">
      <c r="A79" s="166"/>
      <c r="B79" t="str">
        <f>IF('qPCR Run Entry'!B79="","",'qPCR Run Entry'!B79)</f>
        <v/>
      </c>
      <c r="C79" t="str">
        <f>IF('qPCR Run Entry'!C79="","",'qPCR Run Entry'!C79)</f>
        <v/>
      </c>
      <c r="D79" s="149"/>
      <c r="E79" t="s">
        <v>68</v>
      </c>
      <c r="F79" t="s">
        <v>67</v>
      </c>
      <c r="G79" s="24"/>
      <c r="H79" s="24"/>
      <c r="I79" s="24"/>
      <c r="J79" s="62" t="str">
        <f>IF('qPCR Run Entry'!J79="","",'qPCR Run Entry'!J79)</f>
        <v/>
      </c>
      <c r="K79" s="136"/>
      <c r="L79" s="135">
        <f t="shared" si="7"/>
        <v>0</v>
      </c>
      <c r="M79" s="110" t="str">
        <f t="shared" si="8"/>
        <v/>
      </c>
      <c r="O79" s="166"/>
      <c r="P79" t="str">
        <f>IF('qPCR Run Entry'!O79="","",'qPCR Run Entry'!O79)</f>
        <v/>
      </c>
      <c r="Q79" t="str">
        <f>IF('qPCR Run Entry'!P79="","",'qPCR Run Entry'!P79)</f>
        <v/>
      </c>
      <c r="R79" s="149"/>
      <c r="S79" t="s">
        <v>68</v>
      </c>
      <c r="T79" t="s">
        <v>67</v>
      </c>
      <c r="X79" s="62" t="str">
        <f>IF('qPCR Run Entry'!U79="","",'qPCR Run Entry'!U79)</f>
        <v/>
      </c>
      <c r="Y79" s="136"/>
      <c r="Z79" s="135">
        <f t="shared" si="9"/>
        <v>0</v>
      </c>
      <c r="AA79" s="110" t="str">
        <f t="shared" si="10"/>
        <v/>
      </c>
      <c r="AC79" s="175"/>
      <c r="AD79" t="str">
        <f>IF('qPCR Run Entry'!AB79="","",'qPCR Run Entry'!AB79)</f>
        <v/>
      </c>
      <c r="AE79" t="str">
        <f>IF('qPCR Run Entry'!AC79="","",'qPCR Run Entry'!AC79)</f>
        <v/>
      </c>
      <c r="AF79" s="149"/>
      <c r="AG79" t="s">
        <v>68</v>
      </c>
      <c r="AH79" t="s">
        <v>67</v>
      </c>
      <c r="AL79" s="62" t="str">
        <f>IF('qPCR Run Entry'!AJ79="","",'qPCR Run Entry'!AJ79)</f>
        <v/>
      </c>
      <c r="AM79" s="136"/>
      <c r="AN79" s="135">
        <f t="shared" si="11"/>
        <v>0</v>
      </c>
      <c r="AO79" s="110" t="str">
        <f t="shared" si="12"/>
        <v/>
      </c>
    </row>
    <row r="80" spans="1:41" x14ac:dyDescent="0.2">
      <c r="A80" s="166">
        <f>'Sample Metadata'!D40</f>
        <v>0</v>
      </c>
      <c r="B80" t="str">
        <f>IF('qPCR Run Entry'!B80="","",'qPCR Run Entry'!B80)</f>
        <v/>
      </c>
      <c r="C80" t="str">
        <f>IF('qPCR Run Entry'!C80="","",'qPCR Run Entry'!C80)</f>
        <v/>
      </c>
      <c r="D80" s="149" t="str">
        <f>IF('qPCR Run Entry'!D80="","",'qPCR Run Entry'!D80)</f>
        <v/>
      </c>
      <c r="E80" t="s">
        <v>68</v>
      </c>
      <c r="F80" t="s">
        <v>67</v>
      </c>
      <c r="G80" s="24"/>
      <c r="H80" s="24"/>
      <c r="I80" s="24"/>
      <c r="J80" s="62" t="str">
        <f>IF('qPCR Run Entry'!J80="","",'qPCR Run Entry'!J80)</f>
        <v/>
      </c>
      <c r="K80" s="136"/>
      <c r="L80" s="135">
        <f t="shared" si="7"/>
        <v>0</v>
      </c>
      <c r="M80" s="110" t="str">
        <f t="shared" si="8"/>
        <v/>
      </c>
      <c r="O80" s="166">
        <f>A80</f>
        <v>0</v>
      </c>
      <c r="P80" t="str">
        <f>IF('qPCR Run Entry'!O80="","",'qPCR Run Entry'!O80)</f>
        <v/>
      </c>
      <c r="Q80" t="str">
        <f>IF('qPCR Run Entry'!P80="","",'qPCR Run Entry'!P80)</f>
        <v/>
      </c>
      <c r="R80" s="149" t="str">
        <f>IF('qPCR Run Entry'!Q80="","",'qPCR Run Entry'!Q80)</f>
        <v/>
      </c>
      <c r="S80" t="s">
        <v>68</v>
      </c>
      <c r="T80" t="s">
        <v>67</v>
      </c>
      <c r="X80" s="62" t="str">
        <f>IF('qPCR Run Entry'!U80="","",'qPCR Run Entry'!U80)</f>
        <v/>
      </c>
      <c r="Y80" s="136"/>
      <c r="Z80" s="135">
        <f t="shared" si="9"/>
        <v>0</v>
      </c>
      <c r="AA80" s="110" t="str">
        <f t="shared" si="10"/>
        <v/>
      </c>
      <c r="AC80" s="166">
        <f t="shared" ref="AC80" si="18">O80</f>
        <v>0</v>
      </c>
      <c r="AD80" t="str">
        <f>IF('qPCR Run Entry'!AB80="","",'qPCR Run Entry'!AB80)</f>
        <v/>
      </c>
      <c r="AE80" t="str">
        <f>IF('qPCR Run Entry'!AC80="","",'qPCR Run Entry'!AC80)</f>
        <v/>
      </c>
      <c r="AF80" s="149" t="str">
        <f>IF('qPCR Run Entry'!AD80="","",'qPCR Run Entry'!AD80)</f>
        <v/>
      </c>
      <c r="AG80" t="s">
        <v>68</v>
      </c>
      <c r="AH80" t="s">
        <v>67</v>
      </c>
      <c r="AL80" s="62" t="str">
        <f>IF('qPCR Run Entry'!AJ80="","",'qPCR Run Entry'!AJ80)</f>
        <v/>
      </c>
      <c r="AM80" s="136"/>
      <c r="AN80" s="135">
        <f t="shared" si="11"/>
        <v>0</v>
      </c>
      <c r="AO80" s="110" t="str">
        <f t="shared" si="12"/>
        <v/>
      </c>
    </row>
    <row r="81" spans="1:41" x14ac:dyDescent="0.2">
      <c r="A81" s="166"/>
      <c r="B81" t="str">
        <f>IF('qPCR Run Entry'!B81="","",'qPCR Run Entry'!B81)</f>
        <v/>
      </c>
      <c r="C81" t="str">
        <f>IF('qPCR Run Entry'!C81="","",'qPCR Run Entry'!C81)</f>
        <v/>
      </c>
      <c r="D81" s="149"/>
      <c r="E81" t="s">
        <v>68</v>
      </c>
      <c r="F81" t="s">
        <v>67</v>
      </c>
      <c r="G81" s="24"/>
      <c r="H81" s="24"/>
      <c r="I81" s="24"/>
      <c r="J81" s="62" t="str">
        <f>IF('qPCR Run Entry'!J81="","",'qPCR Run Entry'!J81)</f>
        <v/>
      </c>
      <c r="K81" s="136"/>
      <c r="L81" s="135">
        <f t="shared" si="7"/>
        <v>0</v>
      </c>
      <c r="M81" s="110" t="str">
        <f t="shared" si="8"/>
        <v/>
      </c>
      <c r="O81" s="166"/>
      <c r="P81" t="str">
        <f>IF('qPCR Run Entry'!O81="","",'qPCR Run Entry'!O81)</f>
        <v/>
      </c>
      <c r="Q81" t="str">
        <f>IF('qPCR Run Entry'!P81="","",'qPCR Run Entry'!P81)</f>
        <v/>
      </c>
      <c r="R81" s="149"/>
      <c r="S81" t="s">
        <v>68</v>
      </c>
      <c r="T81" t="s">
        <v>67</v>
      </c>
      <c r="X81" s="62" t="str">
        <f>IF('qPCR Run Entry'!U81="","",'qPCR Run Entry'!U81)</f>
        <v/>
      </c>
      <c r="Y81" s="136"/>
      <c r="Z81" s="135">
        <f t="shared" si="9"/>
        <v>0</v>
      </c>
      <c r="AA81" s="110" t="str">
        <f t="shared" si="10"/>
        <v/>
      </c>
      <c r="AC81" s="166"/>
      <c r="AD81" t="str">
        <f>IF('qPCR Run Entry'!AB81="","",'qPCR Run Entry'!AB81)</f>
        <v/>
      </c>
      <c r="AE81" t="str">
        <f>IF('qPCR Run Entry'!AC81="","",'qPCR Run Entry'!AC81)</f>
        <v/>
      </c>
      <c r="AF81" s="149"/>
      <c r="AG81" t="s">
        <v>68</v>
      </c>
      <c r="AH81" t="s">
        <v>67</v>
      </c>
      <c r="AL81" s="62" t="str">
        <f>IF('qPCR Run Entry'!AJ81="","",'qPCR Run Entry'!AJ81)</f>
        <v/>
      </c>
      <c r="AM81" s="136"/>
      <c r="AN81" s="135">
        <f t="shared" si="11"/>
        <v>0</v>
      </c>
      <c r="AO81" s="110" t="str">
        <f t="shared" si="12"/>
        <v/>
      </c>
    </row>
    <row r="82" spans="1:41" x14ac:dyDescent="0.2">
      <c r="A82" s="166">
        <f>'Sample Metadata'!D41</f>
        <v>0</v>
      </c>
      <c r="B82" t="str">
        <f>IF('qPCR Run Entry'!B82="","",'qPCR Run Entry'!B82)</f>
        <v/>
      </c>
      <c r="C82" t="str">
        <f>IF('qPCR Run Entry'!C82="","",'qPCR Run Entry'!C82)</f>
        <v/>
      </c>
      <c r="D82" s="149" t="str">
        <f>IF('qPCR Run Entry'!D82="","",'qPCR Run Entry'!D82)</f>
        <v/>
      </c>
      <c r="E82" t="s">
        <v>68</v>
      </c>
      <c r="F82" t="s">
        <v>67</v>
      </c>
      <c r="G82" s="24"/>
      <c r="H82" s="24"/>
      <c r="I82" s="24"/>
      <c r="J82" s="62" t="str">
        <f>IF('qPCR Run Entry'!J82="","",'qPCR Run Entry'!J82)</f>
        <v/>
      </c>
      <c r="K82" s="136"/>
      <c r="L82" s="135">
        <f t="shared" si="7"/>
        <v>0</v>
      </c>
      <c r="M82" s="110" t="str">
        <f t="shared" si="8"/>
        <v/>
      </c>
      <c r="O82" s="166">
        <f>A82</f>
        <v>0</v>
      </c>
      <c r="P82" t="str">
        <f>IF('qPCR Run Entry'!O82="","",'qPCR Run Entry'!O82)</f>
        <v/>
      </c>
      <c r="Q82" t="str">
        <f>IF('qPCR Run Entry'!P82="","",'qPCR Run Entry'!P82)</f>
        <v/>
      </c>
      <c r="R82" s="149" t="str">
        <f>IF('qPCR Run Entry'!Q82="","",'qPCR Run Entry'!Q82)</f>
        <v/>
      </c>
      <c r="S82" t="s">
        <v>68</v>
      </c>
      <c r="T82" t="s">
        <v>67</v>
      </c>
      <c r="X82" s="62" t="str">
        <f>IF('qPCR Run Entry'!U82="","",'qPCR Run Entry'!U82)</f>
        <v/>
      </c>
      <c r="Y82" s="136"/>
      <c r="Z82" s="135">
        <f t="shared" si="9"/>
        <v>0</v>
      </c>
      <c r="AA82" s="110" t="str">
        <f t="shared" si="10"/>
        <v/>
      </c>
      <c r="AC82" s="166">
        <f t="shared" ref="AC82" si="19">O82</f>
        <v>0</v>
      </c>
      <c r="AD82" t="str">
        <f>IF('qPCR Run Entry'!AB82="","",'qPCR Run Entry'!AB82)</f>
        <v/>
      </c>
      <c r="AE82" t="str">
        <f>IF('qPCR Run Entry'!AC82="","",'qPCR Run Entry'!AC82)</f>
        <v/>
      </c>
      <c r="AF82" s="149" t="str">
        <f>IF('qPCR Run Entry'!AD82="","",'qPCR Run Entry'!AD82)</f>
        <v/>
      </c>
      <c r="AG82" t="s">
        <v>68</v>
      </c>
      <c r="AH82" t="s">
        <v>67</v>
      </c>
      <c r="AL82" s="62" t="str">
        <f>IF('qPCR Run Entry'!AJ82="","",'qPCR Run Entry'!AJ82)</f>
        <v/>
      </c>
      <c r="AM82" s="136"/>
      <c r="AN82" s="135">
        <f t="shared" si="11"/>
        <v>0</v>
      </c>
      <c r="AO82" s="110" t="str">
        <f t="shared" si="12"/>
        <v/>
      </c>
    </row>
    <row r="83" spans="1:41" x14ac:dyDescent="0.2">
      <c r="A83" s="166"/>
      <c r="B83" t="str">
        <f>IF('qPCR Run Entry'!B83="","",'qPCR Run Entry'!B83)</f>
        <v/>
      </c>
      <c r="C83" t="str">
        <f>IF('qPCR Run Entry'!C83="","",'qPCR Run Entry'!C83)</f>
        <v/>
      </c>
      <c r="D83" s="149"/>
      <c r="E83" t="s">
        <v>68</v>
      </c>
      <c r="F83" t="s">
        <v>67</v>
      </c>
      <c r="G83" s="24"/>
      <c r="H83" s="24"/>
      <c r="I83" s="24"/>
      <c r="J83" s="62" t="str">
        <f>IF('qPCR Run Entry'!J83="","",'qPCR Run Entry'!J83)</f>
        <v/>
      </c>
      <c r="K83" s="136"/>
      <c r="L83" s="135">
        <f t="shared" si="7"/>
        <v>0</v>
      </c>
      <c r="M83" s="110" t="str">
        <f t="shared" si="8"/>
        <v/>
      </c>
      <c r="O83" s="166"/>
      <c r="P83" t="str">
        <f>IF('qPCR Run Entry'!O83="","",'qPCR Run Entry'!O83)</f>
        <v/>
      </c>
      <c r="Q83" t="str">
        <f>IF('qPCR Run Entry'!P83="","",'qPCR Run Entry'!P83)</f>
        <v/>
      </c>
      <c r="R83" s="149"/>
      <c r="S83" t="s">
        <v>68</v>
      </c>
      <c r="T83" t="s">
        <v>67</v>
      </c>
      <c r="X83" s="62" t="str">
        <f>IF('qPCR Run Entry'!U83="","",'qPCR Run Entry'!U83)</f>
        <v/>
      </c>
      <c r="Y83" s="136"/>
      <c r="Z83" s="135">
        <f t="shared" si="9"/>
        <v>0</v>
      </c>
      <c r="AA83" s="110" t="str">
        <f t="shared" si="10"/>
        <v/>
      </c>
      <c r="AC83" s="166"/>
      <c r="AD83" t="str">
        <f>IF('qPCR Run Entry'!AB83="","",'qPCR Run Entry'!AB83)</f>
        <v/>
      </c>
      <c r="AE83" t="str">
        <f>IF('qPCR Run Entry'!AC83="","",'qPCR Run Entry'!AC83)</f>
        <v/>
      </c>
      <c r="AF83" s="149"/>
      <c r="AG83" t="s">
        <v>68</v>
      </c>
      <c r="AH83" t="s">
        <v>67</v>
      </c>
      <c r="AL83" s="62" t="str">
        <f>IF('qPCR Run Entry'!AJ83="","",'qPCR Run Entry'!AJ83)</f>
        <v/>
      </c>
      <c r="AM83" s="136"/>
      <c r="AN83" s="135">
        <f t="shared" si="11"/>
        <v>0</v>
      </c>
      <c r="AO83" s="110" t="str">
        <f t="shared" si="12"/>
        <v/>
      </c>
    </row>
    <row r="84" spans="1:41" x14ac:dyDescent="0.2">
      <c r="A84" s="166">
        <f>'Sample Metadata'!D42</f>
        <v>0</v>
      </c>
      <c r="B84" t="str">
        <f>IF('qPCR Run Entry'!B84="","",'qPCR Run Entry'!B84)</f>
        <v/>
      </c>
      <c r="C84" t="str">
        <f>IF('qPCR Run Entry'!C84="","",'qPCR Run Entry'!C84)</f>
        <v/>
      </c>
      <c r="D84" s="149" t="str">
        <f>IF('qPCR Run Entry'!D84="","",'qPCR Run Entry'!D84)</f>
        <v/>
      </c>
      <c r="E84" t="s">
        <v>68</v>
      </c>
      <c r="F84" t="s">
        <v>67</v>
      </c>
      <c r="G84" s="24"/>
      <c r="H84" s="24"/>
      <c r="I84" s="24"/>
      <c r="J84" s="62" t="str">
        <f>IF('qPCR Run Entry'!J84="","",'qPCR Run Entry'!J84)</f>
        <v/>
      </c>
      <c r="K84" s="24"/>
      <c r="L84" s="135">
        <f t="shared" si="7"/>
        <v>0</v>
      </c>
      <c r="M84" s="110" t="str">
        <f t="shared" si="8"/>
        <v/>
      </c>
      <c r="O84" s="166">
        <f>A84</f>
        <v>0</v>
      </c>
      <c r="P84" t="str">
        <f>IF('qPCR Run Entry'!O84="","",'qPCR Run Entry'!O84)</f>
        <v/>
      </c>
      <c r="Q84" t="str">
        <f>IF('qPCR Run Entry'!P84="","",'qPCR Run Entry'!P84)</f>
        <v/>
      </c>
      <c r="R84" s="149" t="str">
        <f>IF('qPCR Run Entry'!Q84="","",'qPCR Run Entry'!Q84)</f>
        <v/>
      </c>
      <c r="S84" t="s">
        <v>68</v>
      </c>
      <c r="T84" t="s">
        <v>67</v>
      </c>
      <c r="X84" s="62" t="str">
        <f>IF('qPCR Run Entry'!U84="","",'qPCR Run Entry'!U84)</f>
        <v/>
      </c>
      <c r="Y84" s="24"/>
      <c r="Z84" s="135">
        <f t="shared" si="9"/>
        <v>0</v>
      </c>
      <c r="AA84" s="110" t="str">
        <f t="shared" si="10"/>
        <v/>
      </c>
      <c r="AC84" s="166">
        <f t="shared" ref="AC84" si="20">O84</f>
        <v>0</v>
      </c>
      <c r="AD84" t="str">
        <f>IF('qPCR Run Entry'!AB84="","",'qPCR Run Entry'!AB84)</f>
        <v/>
      </c>
      <c r="AE84" t="str">
        <f>IF('qPCR Run Entry'!AC84="","",'qPCR Run Entry'!AC84)</f>
        <v/>
      </c>
      <c r="AF84" s="149" t="str">
        <f>IF('qPCR Run Entry'!AD84="","",'qPCR Run Entry'!AD84)</f>
        <v/>
      </c>
      <c r="AG84" t="s">
        <v>68</v>
      </c>
      <c r="AH84" t="s">
        <v>67</v>
      </c>
      <c r="AL84" s="62" t="str">
        <f>IF('qPCR Run Entry'!AJ84="","",'qPCR Run Entry'!AJ84)</f>
        <v/>
      </c>
      <c r="AM84" s="24"/>
      <c r="AN84" s="135">
        <f t="shared" si="11"/>
        <v>0</v>
      </c>
      <c r="AO84" s="110" t="str">
        <f t="shared" si="12"/>
        <v/>
      </c>
    </row>
    <row r="85" spans="1:41" ht="17" thickBot="1" x14ac:dyDescent="0.25">
      <c r="A85" s="166"/>
      <c r="B85" t="str">
        <f>IF('qPCR Run Entry'!B85="","",'qPCR Run Entry'!B85)</f>
        <v/>
      </c>
      <c r="C85" t="str">
        <f>IF('qPCR Run Entry'!C85="","",'qPCR Run Entry'!C85)</f>
        <v/>
      </c>
      <c r="D85" s="149"/>
      <c r="E85" t="s">
        <v>68</v>
      </c>
      <c r="F85" t="s">
        <v>67</v>
      </c>
      <c r="G85" s="24"/>
      <c r="H85" s="24"/>
      <c r="I85" s="24"/>
      <c r="J85" s="62" t="str">
        <f>IF('qPCR Run Entry'!J85="","",'qPCR Run Entry'!J85)</f>
        <v/>
      </c>
      <c r="K85" s="24"/>
      <c r="L85" s="135">
        <f t="shared" si="7"/>
        <v>0</v>
      </c>
      <c r="M85" s="110" t="str">
        <f t="shared" si="8"/>
        <v/>
      </c>
      <c r="O85" s="166"/>
      <c r="P85" t="str">
        <f>IF('qPCR Run Entry'!O85="","",'qPCR Run Entry'!O85)</f>
        <v/>
      </c>
      <c r="Q85" t="str">
        <f>IF('qPCR Run Entry'!P85="","",'qPCR Run Entry'!P85)</f>
        <v/>
      </c>
      <c r="R85" s="149"/>
      <c r="S85" t="s">
        <v>68</v>
      </c>
      <c r="T85" t="s">
        <v>67</v>
      </c>
      <c r="X85" s="62" t="str">
        <f>IF('qPCR Run Entry'!U85="","",'qPCR Run Entry'!U85)</f>
        <v/>
      </c>
      <c r="Y85" s="24"/>
      <c r="Z85" s="135">
        <f t="shared" si="9"/>
        <v>0</v>
      </c>
      <c r="AA85" s="110" t="str">
        <f t="shared" si="10"/>
        <v/>
      </c>
      <c r="AC85" s="175"/>
      <c r="AD85" t="str">
        <f>IF('qPCR Run Entry'!AB85="","",'qPCR Run Entry'!AB85)</f>
        <v/>
      </c>
      <c r="AE85" t="str">
        <f>IF('qPCR Run Entry'!AC85="","",'qPCR Run Entry'!AC85)</f>
        <v/>
      </c>
      <c r="AF85" s="149"/>
      <c r="AG85" t="s">
        <v>68</v>
      </c>
      <c r="AH85" t="s">
        <v>67</v>
      </c>
      <c r="AL85" s="62" t="str">
        <f>IF('qPCR Run Entry'!AJ85="","",'qPCR Run Entry'!AJ85)</f>
        <v/>
      </c>
      <c r="AM85" s="24"/>
      <c r="AN85" s="135">
        <f t="shared" si="11"/>
        <v>0</v>
      </c>
      <c r="AO85" s="110" t="str">
        <f t="shared" si="12"/>
        <v/>
      </c>
    </row>
    <row r="86" spans="1:41" x14ac:dyDescent="0.2">
      <c r="A86" s="166">
        <f>'Sample Metadata'!D43</f>
        <v>0</v>
      </c>
      <c r="B86" t="str">
        <f>IF('qPCR Run Entry'!B86="","",'qPCR Run Entry'!B86)</f>
        <v/>
      </c>
      <c r="C86" t="str">
        <f>IF('qPCR Run Entry'!C86="","",'qPCR Run Entry'!C86)</f>
        <v/>
      </c>
      <c r="D86" s="149" t="str">
        <f>IF('qPCR Run Entry'!D86="","",'qPCR Run Entry'!D86)</f>
        <v/>
      </c>
      <c r="E86" t="s">
        <v>68</v>
      </c>
      <c r="F86" t="s">
        <v>67</v>
      </c>
      <c r="G86" s="24"/>
      <c r="H86" s="24"/>
      <c r="I86" s="24"/>
      <c r="J86" s="62" t="str">
        <f>IF('qPCR Run Entry'!J86="","",'qPCR Run Entry'!J86)</f>
        <v/>
      </c>
      <c r="K86" s="24"/>
      <c r="L86" s="135">
        <f t="shared" si="7"/>
        <v>0</v>
      </c>
      <c r="M86" s="110" t="str">
        <f t="shared" si="8"/>
        <v/>
      </c>
      <c r="O86" s="166">
        <f>A86</f>
        <v>0</v>
      </c>
      <c r="P86" t="str">
        <f>IF('qPCR Run Entry'!O86="","",'qPCR Run Entry'!O86)</f>
        <v/>
      </c>
      <c r="Q86" t="str">
        <f>IF('qPCR Run Entry'!P86="","",'qPCR Run Entry'!P86)</f>
        <v/>
      </c>
      <c r="R86" s="149" t="str">
        <f>IF('qPCR Run Entry'!Q86="","",'qPCR Run Entry'!Q86)</f>
        <v/>
      </c>
      <c r="S86" t="s">
        <v>68</v>
      </c>
      <c r="T86" t="s">
        <v>67</v>
      </c>
      <c r="X86" s="62" t="str">
        <f>IF('qPCR Run Entry'!U86="","",'qPCR Run Entry'!U86)</f>
        <v/>
      </c>
      <c r="Y86" s="24"/>
      <c r="Z86" s="135">
        <f t="shared" si="9"/>
        <v>0</v>
      </c>
      <c r="AA86" s="110" t="str">
        <f t="shared" si="10"/>
        <v/>
      </c>
      <c r="AC86" s="166">
        <f t="shared" ref="AC86" si="21">O86</f>
        <v>0</v>
      </c>
      <c r="AD86" t="str">
        <f>IF('qPCR Run Entry'!AB86="","",'qPCR Run Entry'!AB86)</f>
        <v/>
      </c>
      <c r="AE86" t="str">
        <f>IF('qPCR Run Entry'!AC86="","",'qPCR Run Entry'!AC86)</f>
        <v/>
      </c>
      <c r="AF86" s="149" t="str">
        <f>IF('qPCR Run Entry'!AD86="","",'qPCR Run Entry'!AD86)</f>
        <v/>
      </c>
      <c r="AG86" t="s">
        <v>68</v>
      </c>
      <c r="AH86" t="s">
        <v>67</v>
      </c>
      <c r="AL86" s="62" t="str">
        <f>IF('qPCR Run Entry'!AJ86="","",'qPCR Run Entry'!AJ86)</f>
        <v/>
      </c>
      <c r="AM86" s="24"/>
      <c r="AN86" s="135">
        <f t="shared" si="11"/>
        <v>0</v>
      </c>
      <c r="AO86" s="110" t="str">
        <f t="shared" si="12"/>
        <v/>
      </c>
    </row>
    <row r="87" spans="1:41" ht="17" thickBot="1" x14ac:dyDescent="0.25">
      <c r="A87" s="175"/>
      <c r="B87" s="60" t="str">
        <f>IF('qPCR Run Entry'!B87="","",'qPCR Run Entry'!B87)</f>
        <v/>
      </c>
      <c r="C87" s="60" t="str">
        <f>IF('qPCR Run Entry'!C87="","",'qPCR Run Entry'!C87)</f>
        <v/>
      </c>
      <c r="D87" s="177"/>
      <c r="E87" s="60" t="s">
        <v>68</v>
      </c>
      <c r="F87" s="60" t="s">
        <v>67</v>
      </c>
      <c r="G87" s="139"/>
      <c r="H87" s="139"/>
      <c r="I87" s="139"/>
      <c r="J87" s="134" t="str">
        <f>IF('qPCR Run Entry'!J87="","",'qPCR Run Entry'!J87)</f>
        <v/>
      </c>
      <c r="K87" s="24"/>
      <c r="L87" s="135">
        <f t="shared" si="7"/>
        <v>0</v>
      </c>
      <c r="M87" s="110" t="str">
        <f t="shared" si="8"/>
        <v/>
      </c>
      <c r="O87" s="175"/>
      <c r="P87" s="60" t="str">
        <f>IF('qPCR Run Entry'!O87="","",'qPCR Run Entry'!O87)</f>
        <v/>
      </c>
      <c r="Q87" s="60" t="str">
        <f>IF('qPCR Run Entry'!P87="","",'qPCR Run Entry'!P87)</f>
        <v/>
      </c>
      <c r="R87" s="177"/>
      <c r="S87" s="60" t="s">
        <v>68</v>
      </c>
      <c r="T87" s="60" t="s">
        <v>67</v>
      </c>
      <c r="U87" s="60"/>
      <c r="V87" s="60"/>
      <c r="W87" s="60"/>
      <c r="X87" s="134" t="str">
        <f>IF('qPCR Run Entry'!U87="","",'qPCR Run Entry'!U87)</f>
        <v/>
      </c>
      <c r="Y87" s="24"/>
      <c r="Z87" s="135">
        <f t="shared" si="9"/>
        <v>0</v>
      </c>
      <c r="AA87" s="110" t="str">
        <f t="shared" si="10"/>
        <v/>
      </c>
      <c r="AC87" s="166"/>
      <c r="AD87" s="60" t="str">
        <f>IF('qPCR Run Entry'!AB87="","",'qPCR Run Entry'!AB87)</f>
        <v/>
      </c>
      <c r="AE87" s="60" t="str">
        <f>IF('qPCR Run Entry'!AC87="","",'qPCR Run Entry'!AC87)</f>
        <v/>
      </c>
      <c r="AF87" s="177"/>
      <c r="AG87" s="60" t="s">
        <v>68</v>
      </c>
      <c r="AH87" s="60" t="s">
        <v>67</v>
      </c>
      <c r="AI87" s="60"/>
      <c r="AJ87" s="60"/>
      <c r="AK87" s="60"/>
      <c r="AL87" s="134" t="str">
        <f>IF('qPCR Run Entry'!AJ87="","",'qPCR Run Entry'!AJ87)</f>
        <v/>
      </c>
      <c r="AM87" s="24"/>
      <c r="AN87" s="135">
        <f t="shared" si="11"/>
        <v>0</v>
      </c>
      <c r="AO87" s="110" t="str">
        <f t="shared" si="12"/>
        <v/>
      </c>
    </row>
    <row r="88" spans="1:41" x14ac:dyDescent="0.2">
      <c r="M88" s="110" t="str">
        <f t="shared" si="8"/>
        <v/>
      </c>
      <c r="AA88" s="110" t="str">
        <f t="shared" si="10"/>
        <v/>
      </c>
      <c r="AO88" s="110" t="str">
        <f t="shared" si="12"/>
        <v/>
      </c>
    </row>
    <row r="89" spans="1:41" x14ac:dyDescent="0.2">
      <c r="M89" s="110" t="str">
        <f t="shared" si="8"/>
        <v/>
      </c>
      <c r="AA89" s="110" t="str">
        <f t="shared" si="10"/>
        <v/>
      </c>
      <c r="AO89" s="110" t="str">
        <f t="shared" si="12"/>
        <v/>
      </c>
    </row>
    <row r="90" spans="1:41" x14ac:dyDescent="0.2">
      <c r="M90" s="110" t="str">
        <f t="shared" si="8"/>
        <v/>
      </c>
      <c r="AA90" s="110" t="str">
        <f t="shared" si="10"/>
        <v/>
      </c>
      <c r="AO90" s="110" t="str">
        <f t="shared" si="12"/>
        <v/>
      </c>
    </row>
    <row r="91" spans="1:41" x14ac:dyDescent="0.2">
      <c r="M91" s="110" t="str">
        <f t="shared" si="8"/>
        <v/>
      </c>
      <c r="AA91" s="110" t="str">
        <f t="shared" si="10"/>
        <v/>
      </c>
      <c r="AO91" s="110" t="str">
        <f t="shared" si="12"/>
        <v/>
      </c>
    </row>
    <row r="92" spans="1:41" x14ac:dyDescent="0.2">
      <c r="M92" s="110" t="str">
        <f t="shared" si="8"/>
        <v/>
      </c>
      <c r="AA92" s="110" t="str">
        <f t="shared" si="10"/>
        <v/>
      </c>
      <c r="AO92" s="110" t="str">
        <f t="shared" si="12"/>
        <v/>
      </c>
    </row>
    <row r="93" spans="1:41" x14ac:dyDescent="0.2">
      <c r="M93" s="110" t="str">
        <f t="shared" si="8"/>
        <v/>
      </c>
      <c r="AA93" s="110" t="str">
        <f t="shared" si="10"/>
        <v/>
      </c>
      <c r="AO93" s="110" t="str">
        <f t="shared" si="12"/>
        <v/>
      </c>
    </row>
    <row r="94" spans="1:41" x14ac:dyDescent="0.2">
      <c r="M94" s="110" t="str">
        <f t="shared" si="8"/>
        <v/>
      </c>
      <c r="AA94" s="110" t="str">
        <f t="shared" si="10"/>
        <v/>
      </c>
      <c r="AO94" s="110" t="str">
        <f t="shared" si="12"/>
        <v/>
      </c>
    </row>
    <row r="95" spans="1:41" x14ac:dyDescent="0.2">
      <c r="M95" s="110" t="str">
        <f t="shared" si="8"/>
        <v/>
      </c>
      <c r="AA95" s="110" t="str">
        <f t="shared" si="10"/>
        <v/>
      </c>
      <c r="AO95" s="110" t="str">
        <f t="shared" si="12"/>
        <v/>
      </c>
    </row>
    <row r="96" spans="1:41" x14ac:dyDescent="0.2">
      <c r="M96" s="110" t="str">
        <f t="shared" si="8"/>
        <v/>
      </c>
      <c r="AA96" s="110" t="str">
        <f t="shared" si="10"/>
        <v/>
      </c>
      <c r="AO96" s="110" t="str">
        <f t="shared" si="12"/>
        <v/>
      </c>
    </row>
    <row r="97" spans="13:41" x14ac:dyDescent="0.2">
      <c r="M97" s="110" t="str">
        <f t="shared" si="8"/>
        <v/>
      </c>
      <c r="AA97" s="110" t="str">
        <f t="shared" si="10"/>
        <v/>
      </c>
      <c r="AO97" s="110" t="str">
        <f t="shared" si="12"/>
        <v/>
      </c>
    </row>
    <row r="98" spans="13:41" x14ac:dyDescent="0.2">
      <c r="M98" s="110" t="str">
        <f t="shared" si="8"/>
        <v/>
      </c>
      <c r="AA98" s="110" t="str">
        <f t="shared" si="10"/>
        <v/>
      </c>
      <c r="AO98" s="110" t="str">
        <f t="shared" si="12"/>
        <v/>
      </c>
    </row>
    <row r="99" spans="13:41" x14ac:dyDescent="0.2">
      <c r="M99" s="110" t="str">
        <f t="shared" si="8"/>
        <v/>
      </c>
      <c r="AA99" s="110" t="str">
        <f t="shared" si="10"/>
        <v/>
      </c>
      <c r="AO99" s="110" t="str">
        <f t="shared" si="12"/>
        <v/>
      </c>
    </row>
    <row r="100" spans="13:41" x14ac:dyDescent="0.2">
      <c r="M100" s="110" t="str">
        <f t="shared" si="8"/>
        <v/>
      </c>
      <c r="AA100" s="110" t="str">
        <f t="shared" si="10"/>
        <v/>
      </c>
      <c r="AO100" s="110" t="str">
        <f t="shared" si="12"/>
        <v/>
      </c>
    </row>
    <row r="101" spans="13:41" x14ac:dyDescent="0.2">
      <c r="M101" s="110" t="str">
        <f t="shared" si="8"/>
        <v/>
      </c>
      <c r="AA101" s="110" t="str">
        <f t="shared" si="10"/>
        <v/>
      </c>
      <c r="AO101" s="110" t="str">
        <f t="shared" si="12"/>
        <v/>
      </c>
    </row>
    <row r="102" spans="13:41" x14ac:dyDescent="0.2">
      <c r="M102" s="110" t="str">
        <f t="shared" si="8"/>
        <v/>
      </c>
      <c r="AA102" s="110" t="str">
        <f t="shared" si="10"/>
        <v/>
      </c>
      <c r="AO102" s="110" t="str">
        <f t="shared" si="12"/>
        <v/>
      </c>
    </row>
    <row r="103" spans="13:41" x14ac:dyDescent="0.2">
      <c r="M103" s="110" t="str">
        <f t="shared" si="8"/>
        <v/>
      </c>
      <c r="AA103" s="110" t="str">
        <f t="shared" si="10"/>
        <v/>
      </c>
      <c r="AO103" s="110" t="str">
        <f t="shared" si="12"/>
        <v/>
      </c>
    </row>
    <row r="104" spans="13:41" x14ac:dyDescent="0.2">
      <c r="M104" s="110" t="str">
        <f t="shared" si="8"/>
        <v/>
      </c>
      <c r="AA104" s="110" t="str">
        <f t="shared" si="10"/>
        <v/>
      </c>
      <c r="AO104" s="110" t="str">
        <f t="shared" si="12"/>
        <v/>
      </c>
    </row>
    <row r="105" spans="13:41" x14ac:dyDescent="0.2">
      <c r="M105" s="110" t="str">
        <f t="shared" si="8"/>
        <v/>
      </c>
      <c r="AA105" s="110" t="str">
        <f t="shared" si="10"/>
        <v/>
      </c>
      <c r="AO105" s="110" t="str">
        <f t="shared" si="12"/>
        <v/>
      </c>
    </row>
    <row r="106" spans="13:41" x14ac:dyDescent="0.2">
      <c r="M106" s="110" t="str">
        <f t="shared" si="8"/>
        <v/>
      </c>
      <c r="AA106" s="110" t="str">
        <f t="shared" si="10"/>
        <v/>
      </c>
      <c r="AO106" s="110" t="str">
        <f t="shared" si="12"/>
        <v/>
      </c>
    </row>
    <row r="107" spans="13:41" x14ac:dyDescent="0.2">
      <c r="M107" s="110" t="str">
        <f t="shared" si="8"/>
        <v/>
      </c>
      <c r="AA107" s="110" t="str">
        <f t="shared" si="10"/>
        <v/>
      </c>
      <c r="AO107" s="110" t="str">
        <f t="shared" si="12"/>
        <v/>
      </c>
    </row>
    <row r="108" spans="13:41" x14ac:dyDescent="0.2">
      <c r="M108" s="110" t="str">
        <f t="shared" si="8"/>
        <v/>
      </c>
      <c r="AA108" s="110" t="str">
        <f t="shared" si="10"/>
        <v/>
      </c>
      <c r="AO108" s="110" t="str">
        <f t="shared" si="12"/>
        <v/>
      </c>
    </row>
    <row r="109" spans="13:41" x14ac:dyDescent="0.2">
      <c r="M109" s="110" t="str">
        <f t="shared" si="8"/>
        <v/>
      </c>
      <c r="AA109" s="110" t="str">
        <f t="shared" si="10"/>
        <v/>
      </c>
      <c r="AO109" s="110" t="str">
        <f t="shared" si="12"/>
        <v/>
      </c>
    </row>
    <row r="110" spans="13:41" x14ac:dyDescent="0.2">
      <c r="M110" s="110" t="str">
        <f t="shared" si="8"/>
        <v/>
      </c>
      <c r="AA110" s="110" t="str">
        <f t="shared" si="10"/>
        <v/>
      </c>
      <c r="AO110" s="110" t="str">
        <f t="shared" si="12"/>
        <v/>
      </c>
    </row>
    <row r="111" spans="13:41" x14ac:dyDescent="0.2">
      <c r="M111" s="110" t="str">
        <f t="shared" si="8"/>
        <v/>
      </c>
      <c r="AA111" s="110" t="str">
        <f t="shared" si="10"/>
        <v/>
      </c>
      <c r="AO111" s="110" t="str">
        <f t="shared" si="12"/>
        <v/>
      </c>
    </row>
    <row r="112" spans="13:41" x14ac:dyDescent="0.2">
      <c r="M112" s="110" t="str">
        <f t="shared" si="8"/>
        <v/>
      </c>
      <c r="AA112" s="110" t="str">
        <f t="shared" si="10"/>
        <v/>
      </c>
      <c r="AO112" s="110" t="str">
        <f t="shared" si="12"/>
        <v/>
      </c>
    </row>
    <row r="113" spans="13:41" x14ac:dyDescent="0.2">
      <c r="M113" s="110" t="str">
        <f t="shared" si="8"/>
        <v/>
      </c>
      <c r="AA113" s="110" t="str">
        <f t="shared" si="10"/>
        <v/>
      </c>
      <c r="AO113" s="110" t="str">
        <f t="shared" si="12"/>
        <v/>
      </c>
    </row>
    <row r="114" spans="13:41" x14ac:dyDescent="0.2">
      <c r="M114" s="110" t="str">
        <f t="shared" si="8"/>
        <v/>
      </c>
      <c r="AA114" s="110" t="str">
        <f t="shared" si="10"/>
        <v/>
      </c>
      <c r="AO114" s="110" t="str">
        <f t="shared" si="12"/>
        <v/>
      </c>
    </row>
    <row r="115" spans="13:41" x14ac:dyDescent="0.2">
      <c r="M115" s="110" t="str">
        <f t="shared" si="8"/>
        <v/>
      </c>
      <c r="AA115" s="110" t="str">
        <f t="shared" si="10"/>
        <v/>
      </c>
      <c r="AO115" s="110" t="str">
        <f t="shared" si="12"/>
        <v/>
      </c>
    </row>
    <row r="116" spans="13:41" x14ac:dyDescent="0.2">
      <c r="M116" s="110" t="str">
        <f t="shared" si="8"/>
        <v/>
      </c>
      <c r="AA116" s="110" t="str">
        <f t="shared" si="10"/>
        <v/>
      </c>
      <c r="AO116" s="110" t="str">
        <f t="shared" si="12"/>
        <v/>
      </c>
    </row>
    <row r="117" spans="13:41" x14ac:dyDescent="0.2">
      <c r="M117" s="110" t="str">
        <f t="shared" si="8"/>
        <v/>
      </c>
      <c r="AA117" s="110" t="str">
        <f t="shared" si="10"/>
        <v/>
      </c>
      <c r="AO117" s="110" t="str">
        <f t="shared" si="12"/>
        <v/>
      </c>
    </row>
    <row r="118" spans="13:41" x14ac:dyDescent="0.2">
      <c r="M118" s="110" t="str">
        <f t="shared" si="8"/>
        <v/>
      </c>
      <c r="AA118" s="110" t="str">
        <f t="shared" si="10"/>
        <v/>
      </c>
      <c r="AO118" s="110" t="str">
        <f t="shared" si="12"/>
        <v/>
      </c>
    </row>
    <row r="119" spans="13:41" x14ac:dyDescent="0.2">
      <c r="M119" s="110" t="str">
        <f t="shared" si="8"/>
        <v/>
      </c>
      <c r="AA119" s="110" t="str">
        <f t="shared" si="10"/>
        <v/>
      </c>
      <c r="AO119" s="110" t="str">
        <f t="shared" si="12"/>
        <v/>
      </c>
    </row>
    <row r="120" spans="13:41" x14ac:dyDescent="0.2">
      <c r="M120" s="110" t="str">
        <f t="shared" si="8"/>
        <v/>
      </c>
      <c r="AA120" s="110" t="str">
        <f t="shared" si="10"/>
        <v/>
      </c>
      <c r="AO120" s="110" t="str">
        <f t="shared" si="12"/>
        <v/>
      </c>
    </row>
    <row r="121" spans="13:41" x14ac:dyDescent="0.2">
      <c r="M121" s="110" t="str">
        <f t="shared" si="8"/>
        <v/>
      </c>
      <c r="AA121" s="110" t="str">
        <f t="shared" si="10"/>
        <v/>
      </c>
      <c r="AO121" s="110" t="str">
        <f t="shared" si="12"/>
        <v/>
      </c>
    </row>
    <row r="122" spans="13:41" x14ac:dyDescent="0.2">
      <c r="M122" s="110" t="str">
        <f t="shared" si="8"/>
        <v/>
      </c>
      <c r="AA122" s="110" t="str">
        <f t="shared" si="10"/>
        <v/>
      </c>
      <c r="AO122" s="110" t="str">
        <f t="shared" si="12"/>
        <v/>
      </c>
    </row>
    <row r="123" spans="13:41" x14ac:dyDescent="0.2">
      <c r="M123" s="110" t="str">
        <f t="shared" si="8"/>
        <v/>
      </c>
      <c r="AA123" s="110" t="str">
        <f t="shared" si="10"/>
        <v/>
      </c>
      <c r="AO123" s="110" t="str">
        <f t="shared" si="12"/>
        <v/>
      </c>
    </row>
    <row r="124" spans="13:41" x14ac:dyDescent="0.2">
      <c r="M124" s="110" t="str">
        <f t="shared" si="8"/>
        <v/>
      </c>
      <c r="AA124" s="110" t="str">
        <f t="shared" si="10"/>
        <v/>
      </c>
      <c r="AO124" s="110" t="str">
        <f t="shared" si="12"/>
        <v/>
      </c>
    </row>
    <row r="125" spans="13:41" x14ac:dyDescent="0.2">
      <c r="M125" s="110" t="str">
        <f t="shared" si="8"/>
        <v/>
      </c>
      <c r="AA125" s="110" t="str">
        <f t="shared" si="10"/>
        <v/>
      </c>
      <c r="AO125" s="110" t="str">
        <f t="shared" si="12"/>
        <v/>
      </c>
    </row>
    <row r="126" spans="13:41" x14ac:dyDescent="0.2">
      <c r="M126" s="110" t="str">
        <f t="shared" si="8"/>
        <v/>
      </c>
      <c r="AA126" s="110" t="str">
        <f t="shared" si="10"/>
        <v/>
      </c>
      <c r="AO126" s="110" t="str">
        <f t="shared" si="12"/>
        <v/>
      </c>
    </row>
    <row r="127" spans="13:41" x14ac:dyDescent="0.2">
      <c r="M127" s="110" t="str">
        <f t="shared" si="8"/>
        <v/>
      </c>
      <c r="AA127" s="110" t="str">
        <f t="shared" si="10"/>
        <v/>
      </c>
      <c r="AO127" s="110" t="str">
        <f t="shared" si="12"/>
        <v/>
      </c>
    </row>
    <row r="128" spans="13:41" x14ac:dyDescent="0.2">
      <c r="M128" s="110" t="str">
        <f t="shared" si="8"/>
        <v/>
      </c>
      <c r="AA128" s="110" t="str">
        <f t="shared" si="10"/>
        <v/>
      </c>
      <c r="AO128" s="110" t="str">
        <f t="shared" si="12"/>
        <v/>
      </c>
    </row>
    <row r="129" spans="13:41" x14ac:dyDescent="0.2">
      <c r="M129" s="110" t="str">
        <f t="shared" si="8"/>
        <v/>
      </c>
      <c r="AA129" s="110" t="str">
        <f t="shared" si="10"/>
        <v/>
      </c>
      <c r="AO129" s="110" t="str">
        <f t="shared" si="12"/>
        <v/>
      </c>
    </row>
    <row r="130" spans="13:41" x14ac:dyDescent="0.2">
      <c r="M130" s="110" t="str">
        <f t="shared" si="8"/>
        <v/>
      </c>
      <c r="AA130" s="110" t="str">
        <f t="shared" si="10"/>
        <v/>
      </c>
      <c r="AO130" s="110" t="str">
        <f t="shared" si="12"/>
        <v/>
      </c>
    </row>
    <row r="131" spans="13:41" x14ac:dyDescent="0.2">
      <c r="M131" s="110" t="str">
        <f t="shared" si="8"/>
        <v/>
      </c>
      <c r="AA131" s="110" t="str">
        <f t="shared" si="10"/>
        <v/>
      </c>
      <c r="AO131" s="110" t="str">
        <f t="shared" si="12"/>
        <v/>
      </c>
    </row>
    <row r="132" spans="13:41" x14ac:dyDescent="0.2">
      <c r="M132" s="110" t="str">
        <f t="shared" si="8"/>
        <v/>
      </c>
      <c r="AA132" s="110" t="str">
        <f t="shared" si="10"/>
        <v/>
      </c>
      <c r="AO132" s="110" t="str">
        <f t="shared" si="12"/>
        <v/>
      </c>
    </row>
    <row r="133" spans="13:41" x14ac:dyDescent="0.2">
      <c r="M133" s="110" t="str">
        <f t="shared" ref="M133:M196" si="22">IF(ISNUMBER(K133),IF(ABS(L133)&gt;1.5, "FAIL", "Pass"),"")</f>
        <v/>
      </c>
      <c r="AA133" s="110" t="str">
        <f t="shared" ref="AA133:AA196" si="23">IF(ISNUMBER(Y133),IF(ABS(Z133)&gt;1.5, "FAIL", "Pass"),"")</f>
        <v/>
      </c>
      <c r="AO133" s="110" t="str">
        <f t="shared" ref="AO133:AO196" si="24">IF(ISNUMBER(AM133),IF(ABS(AN133)&gt;1.5, "FAIL", "Pass"),"")</f>
        <v/>
      </c>
    </row>
    <row r="134" spans="13:41" x14ac:dyDescent="0.2">
      <c r="M134" s="110" t="str">
        <f t="shared" si="22"/>
        <v/>
      </c>
      <c r="AA134" s="110" t="str">
        <f t="shared" si="23"/>
        <v/>
      </c>
      <c r="AO134" s="110" t="str">
        <f t="shared" si="24"/>
        <v/>
      </c>
    </row>
    <row r="135" spans="13:41" x14ac:dyDescent="0.2">
      <c r="M135" s="110" t="str">
        <f t="shared" si="22"/>
        <v/>
      </c>
      <c r="AA135" s="110" t="str">
        <f t="shared" si="23"/>
        <v/>
      </c>
      <c r="AO135" s="110" t="str">
        <f t="shared" si="24"/>
        <v/>
      </c>
    </row>
    <row r="136" spans="13:41" x14ac:dyDescent="0.2">
      <c r="M136" s="110" t="str">
        <f t="shared" si="22"/>
        <v/>
      </c>
      <c r="AA136" s="110" t="str">
        <f t="shared" si="23"/>
        <v/>
      </c>
      <c r="AO136" s="110" t="str">
        <f t="shared" si="24"/>
        <v/>
      </c>
    </row>
    <row r="137" spans="13:41" x14ac:dyDescent="0.2">
      <c r="M137" s="110" t="str">
        <f t="shared" si="22"/>
        <v/>
      </c>
      <c r="AA137" s="110" t="str">
        <f t="shared" si="23"/>
        <v/>
      </c>
      <c r="AO137" s="110" t="str">
        <f t="shared" si="24"/>
        <v/>
      </c>
    </row>
    <row r="138" spans="13:41" x14ac:dyDescent="0.2">
      <c r="M138" s="110" t="str">
        <f t="shared" si="22"/>
        <v/>
      </c>
      <c r="AA138" s="110" t="str">
        <f t="shared" si="23"/>
        <v/>
      </c>
      <c r="AO138" s="110" t="str">
        <f t="shared" si="24"/>
        <v/>
      </c>
    </row>
    <row r="139" spans="13:41" x14ac:dyDescent="0.2">
      <c r="M139" s="110" t="str">
        <f t="shared" si="22"/>
        <v/>
      </c>
      <c r="AA139" s="110" t="str">
        <f t="shared" si="23"/>
        <v/>
      </c>
      <c r="AO139" s="110" t="str">
        <f t="shared" si="24"/>
        <v/>
      </c>
    </row>
    <row r="140" spans="13:41" x14ac:dyDescent="0.2">
      <c r="M140" s="110" t="str">
        <f t="shared" si="22"/>
        <v/>
      </c>
      <c r="AA140" s="110" t="str">
        <f t="shared" si="23"/>
        <v/>
      </c>
      <c r="AO140" s="110" t="str">
        <f t="shared" si="24"/>
        <v/>
      </c>
    </row>
    <row r="141" spans="13:41" x14ac:dyDescent="0.2">
      <c r="M141" s="110" t="str">
        <f t="shared" si="22"/>
        <v/>
      </c>
      <c r="AA141" s="110" t="str">
        <f t="shared" si="23"/>
        <v/>
      </c>
      <c r="AO141" s="110" t="str">
        <f t="shared" si="24"/>
        <v/>
      </c>
    </row>
    <row r="142" spans="13:41" x14ac:dyDescent="0.2">
      <c r="M142" s="110" t="str">
        <f t="shared" si="22"/>
        <v/>
      </c>
      <c r="AA142" s="110" t="str">
        <f t="shared" si="23"/>
        <v/>
      </c>
      <c r="AO142" s="110" t="str">
        <f t="shared" si="24"/>
        <v/>
      </c>
    </row>
    <row r="143" spans="13:41" x14ac:dyDescent="0.2">
      <c r="M143" s="110" t="str">
        <f t="shared" si="22"/>
        <v/>
      </c>
      <c r="AA143" s="110" t="str">
        <f t="shared" si="23"/>
        <v/>
      </c>
      <c r="AO143" s="110" t="str">
        <f t="shared" si="24"/>
        <v/>
      </c>
    </row>
    <row r="144" spans="13:41" x14ac:dyDescent="0.2">
      <c r="M144" s="110" t="str">
        <f t="shared" si="22"/>
        <v/>
      </c>
      <c r="AA144" s="110" t="str">
        <f t="shared" si="23"/>
        <v/>
      </c>
      <c r="AO144" s="110" t="str">
        <f t="shared" si="24"/>
        <v/>
      </c>
    </row>
    <row r="145" spans="13:41" x14ac:dyDescent="0.2">
      <c r="M145" s="110" t="str">
        <f t="shared" si="22"/>
        <v/>
      </c>
      <c r="AA145" s="110" t="str">
        <f t="shared" si="23"/>
        <v/>
      </c>
      <c r="AO145" s="110" t="str">
        <f t="shared" si="24"/>
        <v/>
      </c>
    </row>
    <row r="146" spans="13:41" x14ac:dyDescent="0.2">
      <c r="M146" s="110" t="str">
        <f t="shared" si="22"/>
        <v/>
      </c>
      <c r="AA146" s="110" t="str">
        <f t="shared" si="23"/>
        <v/>
      </c>
      <c r="AO146" s="110" t="str">
        <f t="shared" si="24"/>
        <v/>
      </c>
    </row>
    <row r="147" spans="13:41" x14ac:dyDescent="0.2">
      <c r="M147" s="110" t="str">
        <f t="shared" si="22"/>
        <v/>
      </c>
      <c r="AA147" s="110" t="str">
        <f t="shared" si="23"/>
        <v/>
      </c>
      <c r="AO147" s="110" t="str">
        <f t="shared" si="24"/>
        <v/>
      </c>
    </row>
    <row r="148" spans="13:41" x14ac:dyDescent="0.2">
      <c r="M148" s="110" t="str">
        <f t="shared" si="22"/>
        <v/>
      </c>
      <c r="AA148" s="110" t="str">
        <f t="shared" si="23"/>
        <v/>
      </c>
      <c r="AO148" s="110" t="str">
        <f t="shared" si="24"/>
        <v/>
      </c>
    </row>
    <row r="149" spans="13:41" x14ac:dyDescent="0.2">
      <c r="M149" s="110" t="str">
        <f t="shared" si="22"/>
        <v/>
      </c>
      <c r="AA149" s="110" t="str">
        <f t="shared" si="23"/>
        <v/>
      </c>
      <c r="AO149" s="110" t="str">
        <f t="shared" si="24"/>
        <v/>
      </c>
    </row>
    <row r="150" spans="13:41" x14ac:dyDescent="0.2">
      <c r="M150" s="110" t="str">
        <f t="shared" si="22"/>
        <v/>
      </c>
      <c r="AA150" s="110" t="str">
        <f t="shared" si="23"/>
        <v/>
      </c>
      <c r="AO150" s="110" t="str">
        <f t="shared" si="24"/>
        <v/>
      </c>
    </row>
    <row r="151" spans="13:41" x14ac:dyDescent="0.2">
      <c r="M151" s="110" t="str">
        <f t="shared" si="22"/>
        <v/>
      </c>
      <c r="AA151" s="110" t="str">
        <f t="shared" si="23"/>
        <v/>
      </c>
      <c r="AO151" s="110" t="str">
        <f t="shared" si="24"/>
        <v/>
      </c>
    </row>
    <row r="152" spans="13:41" x14ac:dyDescent="0.2">
      <c r="M152" s="110" t="str">
        <f t="shared" si="22"/>
        <v/>
      </c>
      <c r="AA152" s="110" t="str">
        <f t="shared" si="23"/>
        <v/>
      </c>
      <c r="AO152" s="110" t="str">
        <f t="shared" si="24"/>
        <v/>
      </c>
    </row>
    <row r="153" spans="13:41" x14ac:dyDescent="0.2">
      <c r="M153" s="110" t="str">
        <f t="shared" si="22"/>
        <v/>
      </c>
      <c r="AA153" s="110" t="str">
        <f t="shared" si="23"/>
        <v/>
      </c>
      <c r="AO153" s="110" t="str">
        <f t="shared" si="24"/>
        <v/>
      </c>
    </row>
    <row r="154" spans="13:41" x14ac:dyDescent="0.2">
      <c r="M154" s="110" t="str">
        <f t="shared" si="22"/>
        <v/>
      </c>
      <c r="AA154" s="110" t="str">
        <f t="shared" si="23"/>
        <v/>
      </c>
      <c r="AO154" s="110" t="str">
        <f t="shared" si="24"/>
        <v/>
      </c>
    </row>
    <row r="155" spans="13:41" x14ac:dyDescent="0.2">
      <c r="M155" s="110" t="str">
        <f t="shared" si="22"/>
        <v/>
      </c>
      <c r="AA155" s="110" t="str">
        <f t="shared" si="23"/>
        <v/>
      </c>
      <c r="AO155" s="110" t="str">
        <f t="shared" si="24"/>
        <v/>
      </c>
    </row>
    <row r="156" spans="13:41" x14ac:dyDescent="0.2">
      <c r="M156" s="110" t="str">
        <f t="shared" si="22"/>
        <v/>
      </c>
      <c r="AA156" s="110" t="str">
        <f t="shared" si="23"/>
        <v/>
      </c>
      <c r="AO156" s="110" t="str">
        <f t="shared" si="24"/>
        <v/>
      </c>
    </row>
    <row r="157" spans="13:41" x14ac:dyDescent="0.2">
      <c r="M157" s="110" t="str">
        <f t="shared" si="22"/>
        <v/>
      </c>
      <c r="AA157" s="110" t="str">
        <f t="shared" si="23"/>
        <v/>
      </c>
      <c r="AO157" s="110" t="str">
        <f t="shared" si="24"/>
        <v/>
      </c>
    </row>
    <row r="158" spans="13:41" x14ac:dyDescent="0.2">
      <c r="M158" s="110" t="str">
        <f t="shared" si="22"/>
        <v/>
      </c>
      <c r="AA158" s="110" t="str">
        <f t="shared" si="23"/>
        <v/>
      </c>
      <c r="AO158" s="110" t="str">
        <f t="shared" si="24"/>
        <v/>
      </c>
    </row>
    <row r="159" spans="13:41" x14ac:dyDescent="0.2">
      <c r="M159" s="110" t="str">
        <f t="shared" si="22"/>
        <v/>
      </c>
      <c r="AA159" s="110" t="str">
        <f t="shared" si="23"/>
        <v/>
      </c>
      <c r="AO159" s="110" t="str">
        <f t="shared" si="24"/>
        <v/>
      </c>
    </row>
    <row r="160" spans="13:41" x14ac:dyDescent="0.2">
      <c r="M160" s="110" t="str">
        <f t="shared" si="22"/>
        <v/>
      </c>
      <c r="AA160" s="110" t="str">
        <f t="shared" si="23"/>
        <v/>
      </c>
      <c r="AO160" s="110" t="str">
        <f t="shared" si="24"/>
        <v/>
      </c>
    </row>
    <row r="161" spans="13:41" x14ac:dyDescent="0.2">
      <c r="M161" s="110" t="str">
        <f t="shared" si="22"/>
        <v/>
      </c>
      <c r="AA161" s="110" t="str">
        <f t="shared" si="23"/>
        <v/>
      </c>
      <c r="AO161" s="110" t="str">
        <f t="shared" si="24"/>
        <v/>
      </c>
    </row>
    <row r="162" spans="13:41" x14ac:dyDescent="0.2">
      <c r="M162" s="110" t="str">
        <f t="shared" si="22"/>
        <v/>
      </c>
      <c r="AA162" s="110" t="str">
        <f t="shared" si="23"/>
        <v/>
      </c>
      <c r="AO162" s="110" t="str">
        <f t="shared" si="24"/>
        <v/>
      </c>
    </row>
    <row r="163" spans="13:41" x14ac:dyDescent="0.2">
      <c r="M163" s="110" t="str">
        <f t="shared" si="22"/>
        <v/>
      </c>
      <c r="AA163" s="110" t="str">
        <f t="shared" si="23"/>
        <v/>
      </c>
      <c r="AO163" s="110" t="str">
        <f t="shared" si="24"/>
        <v/>
      </c>
    </row>
    <row r="164" spans="13:41" x14ac:dyDescent="0.2">
      <c r="M164" s="110" t="str">
        <f t="shared" si="22"/>
        <v/>
      </c>
      <c r="AA164" s="110" t="str">
        <f t="shared" si="23"/>
        <v/>
      </c>
      <c r="AO164" s="110" t="str">
        <f t="shared" si="24"/>
        <v/>
      </c>
    </row>
    <row r="165" spans="13:41" x14ac:dyDescent="0.2">
      <c r="M165" s="110" t="str">
        <f t="shared" si="22"/>
        <v/>
      </c>
      <c r="AA165" s="110" t="str">
        <f t="shared" si="23"/>
        <v/>
      </c>
      <c r="AO165" s="110" t="str">
        <f t="shared" si="24"/>
        <v/>
      </c>
    </row>
    <row r="166" spans="13:41" x14ac:dyDescent="0.2">
      <c r="M166" s="110" t="str">
        <f t="shared" si="22"/>
        <v/>
      </c>
      <c r="AA166" s="110" t="str">
        <f t="shared" si="23"/>
        <v/>
      </c>
      <c r="AO166" s="110" t="str">
        <f t="shared" si="24"/>
        <v/>
      </c>
    </row>
    <row r="167" spans="13:41" x14ac:dyDescent="0.2">
      <c r="M167" s="110" t="str">
        <f t="shared" si="22"/>
        <v/>
      </c>
      <c r="AA167" s="110" t="str">
        <f t="shared" si="23"/>
        <v/>
      </c>
      <c r="AO167" s="110" t="str">
        <f t="shared" si="24"/>
        <v/>
      </c>
    </row>
    <row r="168" spans="13:41" x14ac:dyDescent="0.2">
      <c r="M168" s="110" t="str">
        <f t="shared" si="22"/>
        <v/>
      </c>
      <c r="AA168" s="110" t="str">
        <f t="shared" si="23"/>
        <v/>
      </c>
      <c r="AO168" s="110" t="str">
        <f t="shared" si="24"/>
        <v/>
      </c>
    </row>
    <row r="169" spans="13:41" x14ac:dyDescent="0.2">
      <c r="M169" s="110" t="str">
        <f t="shared" si="22"/>
        <v/>
      </c>
      <c r="AA169" s="110" t="str">
        <f t="shared" si="23"/>
        <v/>
      </c>
      <c r="AO169" s="110" t="str">
        <f t="shared" si="24"/>
        <v/>
      </c>
    </row>
    <row r="170" spans="13:41" x14ac:dyDescent="0.2">
      <c r="M170" s="110" t="str">
        <f t="shared" si="22"/>
        <v/>
      </c>
      <c r="AA170" s="110" t="str">
        <f t="shared" si="23"/>
        <v/>
      </c>
      <c r="AO170" s="110" t="str">
        <f t="shared" si="24"/>
        <v/>
      </c>
    </row>
    <row r="171" spans="13:41" x14ac:dyDescent="0.2">
      <c r="M171" s="110" t="str">
        <f t="shared" si="22"/>
        <v/>
      </c>
      <c r="AA171" s="110" t="str">
        <f t="shared" si="23"/>
        <v/>
      </c>
      <c r="AO171" s="110" t="str">
        <f t="shared" si="24"/>
        <v/>
      </c>
    </row>
    <row r="172" spans="13:41" x14ac:dyDescent="0.2">
      <c r="M172" s="110" t="str">
        <f t="shared" si="22"/>
        <v/>
      </c>
      <c r="AA172" s="110" t="str">
        <f t="shared" si="23"/>
        <v/>
      </c>
      <c r="AO172" s="110" t="str">
        <f t="shared" si="24"/>
        <v/>
      </c>
    </row>
    <row r="173" spans="13:41" x14ac:dyDescent="0.2">
      <c r="M173" s="110" t="str">
        <f t="shared" si="22"/>
        <v/>
      </c>
      <c r="AA173" s="110" t="str">
        <f t="shared" si="23"/>
        <v/>
      </c>
      <c r="AO173" s="110" t="str">
        <f t="shared" si="24"/>
        <v/>
      </c>
    </row>
    <row r="174" spans="13:41" x14ac:dyDescent="0.2">
      <c r="M174" s="110" t="str">
        <f t="shared" si="22"/>
        <v/>
      </c>
      <c r="AA174" s="110" t="str">
        <f t="shared" si="23"/>
        <v/>
      </c>
      <c r="AO174" s="110" t="str">
        <f t="shared" si="24"/>
        <v/>
      </c>
    </row>
    <row r="175" spans="13:41" x14ac:dyDescent="0.2">
      <c r="M175" s="110" t="str">
        <f t="shared" si="22"/>
        <v/>
      </c>
      <c r="AA175" s="110" t="str">
        <f t="shared" si="23"/>
        <v/>
      </c>
      <c r="AO175" s="110" t="str">
        <f t="shared" si="24"/>
        <v/>
      </c>
    </row>
    <row r="176" spans="13:41" x14ac:dyDescent="0.2">
      <c r="M176" s="110" t="str">
        <f t="shared" si="22"/>
        <v/>
      </c>
      <c r="AA176" s="110" t="str">
        <f t="shared" si="23"/>
        <v/>
      </c>
      <c r="AO176" s="110" t="str">
        <f t="shared" si="24"/>
        <v/>
      </c>
    </row>
    <row r="177" spans="13:41" x14ac:dyDescent="0.2">
      <c r="M177" s="110" t="str">
        <f t="shared" si="22"/>
        <v/>
      </c>
      <c r="AA177" s="110" t="str">
        <f t="shared" si="23"/>
        <v/>
      </c>
      <c r="AO177" s="110" t="str">
        <f t="shared" si="24"/>
        <v/>
      </c>
    </row>
    <row r="178" spans="13:41" x14ac:dyDescent="0.2">
      <c r="M178" s="110" t="str">
        <f t="shared" si="22"/>
        <v/>
      </c>
      <c r="AA178" s="110" t="str">
        <f t="shared" si="23"/>
        <v/>
      </c>
      <c r="AO178" s="110" t="str">
        <f t="shared" si="24"/>
        <v/>
      </c>
    </row>
    <row r="179" spans="13:41" x14ac:dyDescent="0.2">
      <c r="M179" s="110" t="str">
        <f t="shared" si="22"/>
        <v/>
      </c>
      <c r="AA179" s="110" t="str">
        <f t="shared" si="23"/>
        <v/>
      </c>
      <c r="AO179" s="110" t="str">
        <f t="shared" si="24"/>
        <v/>
      </c>
    </row>
    <row r="180" spans="13:41" x14ac:dyDescent="0.2">
      <c r="M180" s="110" t="str">
        <f t="shared" si="22"/>
        <v/>
      </c>
      <c r="AA180" s="110" t="str">
        <f t="shared" si="23"/>
        <v/>
      </c>
      <c r="AO180" s="110" t="str">
        <f t="shared" si="24"/>
        <v/>
      </c>
    </row>
    <row r="181" spans="13:41" x14ac:dyDescent="0.2">
      <c r="M181" s="110" t="str">
        <f t="shared" si="22"/>
        <v/>
      </c>
      <c r="AA181" s="110" t="str">
        <f t="shared" si="23"/>
        <v/>
      </c>
      <c r="AO181" s="110" t="str">
        <f t="shared" si="24"/>
        <v/>
      </c>
    </row>
    <row r="182" spans="13:41" x14ac:dyDescent="0.2">
      <c r="M182" s="110" t="str">
        <f t="shared" si="22"/>
        <v/>
      </c>
      <c r="AA182" s="110" t="str">
        <f t="shared" si="23"/>
        <v/>
      </c>
      <c r="AO182" s="110" t="str">
        <f t="shared" si="24"/>
        <v/>
      </c>
    </row>
    <row r="183" spans="13:41" x14ac:dyDescent="0.2">
      <c r="M183" s="110" t="str">
        <f t="shared" si="22"/>
        <v/>
      </c>
      <c r="AA183" s="110" t="str">
        <f t="shared" si="23"/>
        <v/>
      </c>
      <c r="AO183" s="110" t="str">
        <f t="shared" si="24"/>
        <v/>
      </c>
    </row>
    <row r="184" spans="13:41" x14ac:dyDescent="0.2">
      <c r="M184" s="110" t="str">
        <f t="shared" si="22"/>
        <v/>
      </c>
      <c r="AA184" s="110" t="str">
        <f t="shared" si="23"/>
        <v/>
      </c>
      <c r="AO184" s="110" t="str">
        <f t="shared" si="24"/>
        <v/>
      </c>
    </row>
    <row r="185" spans="13:41" x14ac:dyDescent="0.2">
      <c r="M185" s="110" t="str">
        <f t="shared" si="22"/>
        <v/>
      </c>
      <c r="AA185" s="110" t="str">
        <f t="shared" si="23"/>
        <v/>
      </c>
      <c r="AO185" s="110" t="str">
        <f t="shared" si="24"/>
        <v/>
      </c>
    </row>
    <row r="186" spans="13:41" x14ac:dyDescent="0.2">
      <c r="M186" s="110" t="str">
        <f t="shared" si="22"/>
        <v/>
      </c>
      <c r="AA186" s="110" t="str">
        <f t="shared" si="23"/>
        <v/>
      </c>
      <c r="AO186" s="110" t="str">
        <f t="shared" si="24"/>
        <v/>
      </c>
    </row>
    <row r="187" spans="13:41" x14ac:dyDescent="0.2">
      <c r="M187" s="110" t="str">
        <f t="shared" si="22"/>
        <v/>
      </c>
      <c r="AA187" s="110" t="str">
        <f t="shared" si="23"/>
        <v/>
      </c>
      <c r="AO187" s="110" t="str">
        <f t="shared" si="24"/>
        <v/>
      </c>
    </row>
    <row r="188" spans="13:41" x14ac:dyDescent="0.2">
      <c r="M188" s="110" t="str">
        <f t="shared" si="22"/>
        <v/>
      </c>
      <c r="AA188" s="110" t="str">
        <f t="shared" si="23"/>
        <v/>
      </c>
      <c r="AO188" s="110" t="str">
        <f t="shared" si="24"/>
        <v/>
      </c>
    </row>
    <row r="189" spans="13:41" x14ac:dyDescent="0.2">
      <c r="M189" s="110" t="str">
        <f t="shared" si="22"/>
        <v/>
      </c>
      <c r="AA189" s="110" t="str">
        <f t="shared" si="23"/>
        <v/>
      </c>
      <c r="AO189" s="110" t="str">
        <f t="shared" si="24"/>
        <v/>
      </c>
    </row>
    <row r="190" spans="13:41" x14ac:dyDescent="0.2">
      <c r="M190" s="110" t="str">
        <f t="shared" si="22"/>
        <v/>
      </c>
      <c r="AA190" s="110" t="str">
        <f t="shared" si="23"/>
        <v/>
      </c>
      <c r="AO190" s="110" t="str">
        <f t="shared" si="24"/>
        <v/>
      </c>
    </row>
    <row r="191" spans="13:41" x14ac:dyDescent="0.2">
      <c r="M191" s="110" t="str">
        <f t="shared" si="22"/>
        <v/>
      </c>
      <c r="AA191" s="110" t="str">
        <f t="shared" si="23"/>
        <v/>
      </c>
      <c r="AO191" s="110" t="str">
        <f t="shared" si="24"/>
        <v/>
      </c>
    </row>
    <row r="192" spans="13:41" x14ac:dyDescent="0.2">
      <c r="M192" s="110" t="str">
        <f t="shared" si="22"/>
        <v/>
      </c>
      <c r="AA192" s="110" t="str">
        <f t="shared" si="23"/>
        <v/>
      </c>
      <c r="AO192" s="110" t="str">
        <f t="shared" si="24"/>
        <v/>
      </c>
    </row>
    <row r="193" spans="13:41" x14ac:dyDescent="0.2">
      <c r="M193" s="110" t="str">
        <f t="shared" si="22"/>
        <v/>
      </c>
      <c r="AA193" s="110" t="str">
        <f t="shared" si="23"/>
        <v/>
      </c>
      <c r="AO193" s="110" t="str">
        <f t="shared" si="24"/>
        <v/>
      </c>
    </row>
    <row r="194" spans="13:41" x14ac:dyDescent="0.2">
      <c r="M194" s="110" t="str">
        <f t="shared" si="22"/>
        <v/>
      </c>
      <c r="AA194" s="110" t="str">
        <f t="shared" si="23"/>
        <v/>
      </c>
      <c r="AO194" s="110" t="str">
        <f t="shared" si="24"/>
        <v/>
      </c>
    </row>
    <row r="195" spans="13:41" x14ac:dyDescent="0.2">
      <c r="M195" s="110" t="str">
        <f t="shared" si="22"/>
        <v/>
      </c>
      <c r="AA195" s="110" t="str">
        <f t="shared" si="23"/>
        <v/>
      </c>
      <c r="AO195" s="110" t="str">
        <f t="shared" si="24"/>
        <v/>
      </c>
    </row>
    <row r="196" spans="13:41" x14ac:dyDescent="0.2">
      <c r="M196" s="110" t="str">
        <f t="shared" si="22"/>
        <v/>
      </c>
      <c r="AA196" s="110" t="str">
        <f t="shared" si="23"/>
        <v/>
      </c>
      <c r="AO196" s="110" t="str">
        <f t="shared" si="24"/>
        <v/>
      </c>
    </row>
    <row r="197" spans="13:41" x14ac:dyDescent="0.2">
      <c r="M197" s="110" t="str">
        <f t="shared" ref="M197:M200" si="25">IF(ISNUMBER(K197),IF(ABS(L197)&gt;1.5, "FAIL", "Pass"),"")</f>
        <v/>
      </c>
      <c r="AA197" s="110" t="str">
        <f t="shared" ref="AA197:AA200" si="26">IF(ISNUMBER(Y197),IF(ABS(Z197)&gt;1.5, "FAIL", "Pass"),"")</f>
        <v/>
      </c>
      <c r="AO197" s="110" t="str">
        <f t="shared" ref="AO197:AO200" si="27">IF(ISNUMBER(AM197),IF(ABS(AN197)&gt;1.5, "FAIL", "Pass"),"")</f>
        <v/>
      </c>
    </row>
    <row r="198" spans="13:41" x14ac:dyDescent="0.2">
      <c r="M198" s="110" t="str">
        <f t="shared" si="25"/>
        <v/>
      </c>
      <c r="AA198" s="110" t="str">
        <f t="shared" si="26"/>
        <v/>
      </c>
      <c r="AO198" s="110" t="str">
        <f t="shared" si="27"/>
        <v/>
      </c>
    </row>
    <row r="199" spans="13:41" x14ac:dyDescent="0.2">
      <c r="M199" s="110" t="str">
        <f t="shared" si="25"/>
        <v/>
      </c>
      <c r="AA199" s="110" t="str">
        <f t="shared" si="26"/>
        <v/>
      </c>
      <c r="AO199" s="110" t="str">
        <f t="shared" si="27"/>
        <v/>
      </c>
    </row>
    <row r="200" spans="13:41" x14ac:dyDescent="0.2">
      <c r="M200" s="110" t="str">
        <f t="shared" si="25"/>
        <v/>
      </c>
      <c r="AA200" s="110" t="str">
        <f t="shared" si="26"/>
        <v/>
      </c>
      <c r="AO200" s="110" t="str">
        <f t="shared" si="27"/>
        <v/>
      </c>
    </row>
  </sheetData>
  <mergeCells count="191">
    <mergeCell ref="A66:A67"/>
    <mergeCell ref="O66:O67"/>
    <mergeCell ref="AC66:AC67"/>
    <mergeCell ref="A62:A63"/>
    <mergeCell ref="O62:O63"/>
    <mergeCell ref="AC62:AC63"/>
    <mergeCell ref="A64:A65"/>
    <mergeCell ref="O64:O65"/>
    <mergeCell ref="AC64:AC65"/>
    <mergeCell ref="D62:D63"/>
    <mergeCell ref="D64:D65"/>
    <mergeCell ref="D66:D67"/>
    <mergeCell ref="A56:A57"/>
    <mergeCell ref="O56:O57"/>
    <mergeCell ref="AC56:AC57"/>
    <mergeCell ref="D54:D55"/>
    <mergeCell ref="D56:D57"/>
    <mergeCell ref="A58:A59"/>
    <mergeCell ref="O58:O59"/>
    <mergeCell ref="AC58:AC59"/>
    <mergeCell ref="A60:A61"/>
    <mergeCell ref="O60:O61"/>
    <mergeCell ref="AC60:AC61"/>
    <mergeCell ref="D58:D59"/>
    <mergeCell ref="D60:D61"/>
    <mergeCell ref="A50:A51"/>
    <mergeCell ref="O50:O51"/>
    <mergeCell ref="AC50:AC51"/>
    <mergeCell ref="A52:A53"/>
    <mergeCell ref="O52:O53"/>
    <mergeCell ref="AC52:AC53"/>
    <mergeCell ref="D50:D51"/>
    <mergeCell ref="D52:D53"/>
    <mergeCell ref="A54:A55"/>
    <mergeCell ref="O54:O55"/>
    <mergeCell ref="AC54:AC55"/>
    <mergeCell ref="A44:A45"/>
    <mergeCell ref="O44:O45"/>
    <mergeCell ref="AC44:AC45"/>
    <mergeCell ref="D42:D43"/>
    <mergeCell ref="D44:D45"/>
    <mergeCell ref="A46:A47"/>
    <mergeCell ref="O46:O47"/>
    <mergeCell ref="AC46:AC47"/>
    <mergeCell ref="A48:A49"/>
    <mergeCell ref="O48:O49"/>
    <mergeCell ref="AC48:AC49"/>
    <mergeCell ref="D46:D47"/>
    <mergeCell ref="D48:D49"/>
    <mergeCell ref="A38:A39"/>
    <mergeCell ref="O38:O39"/>
    <mergeCell ref="AC38:AC39"/>
    <mergeCell ref="A40:A41"/>
    <mergeCell ref="O40:O41"/>
    <mergeCell ref="AC40:AC41"/>
    <mergeCell ref="D38:D39"/>
    <mergeCell ref="D40:D41"/>
    <mergeCell ref="A42:A43"/>
    <mergeCell ref="O42:O43"/>
    <mergeCell ref="AC42:AC43"/>
    <mergeCell ref="A32:A33"/>
    <mergeCell ref="O32:O33"/>
    <mergeCell ref="AC32:AC33"/>
    <mergeCell ref="D30:D31"/>
    <mergeCell ref="D32:D33"/>
    <mergeCell ref="A34:A35"/>
    <mergeCell ref="O34:O35"/>
    <mergeCell ref="AC34:AC35"/>
    <mergeCell ref="A36:A37"/>
    <mergeCell ref="O36:O37"/>
    <mergeCell ref="AC36:AC37"/>
    <mergeCell ref="D34:D35"/>
    <mergeCell ref="D36:D37"/>
    <mergeCell ref="A26:A27"/>
    <mergeCell ref="O26:O27"/>
    <mergeCell ref="AC26:AC27"/>
    <mergeCell ref="A28:A29"/>
    <mergeCell ref="O28:O29"/>
    <mergeCell ref="AC28:AC29"/>
    <mergeCell ref="D26:D27"/>
    <mergeCell ref="D28:D29"/>
    <mergeCell ref="A30:A31"/>
    <mergeCell ref="O30:O31"/>
    <mergeCell ref="AC30:AC31"/>
    <mergeCell ref="A20:A21"/>
    <mergeCell ref="O20:O21"/>
    <mergeCell ref="AC20:AC21"/>
    <mergeCell ref="D18:D19"/>
    <mergeCell ref="D20:D21"/>
    <mergeCell ref="A22:A23"/>
    <mergeCell ref="O22:O23"/>
    <mergeCell ref="AC22:AC23"/>
    <mergeCell ref="A24:A25"/>
    <mergeCell ref="O24:O25"/>
    <mergeCell ref="AC24:AC25"/>
    <mergeCell ref="D22:D23"/>
    <mergeCell ref="D24:D25"/>
    <mergeCell ref="A14:A15"/>
    <mergeCell ref="O14:O15"/>
    <mergeCell ref="AC14:AC15"/>
    <mergeCell ref="A16:A17"/>
    <mergeCell ref="O16:O17"/>
    <mergeCell ref="AC16:AC17"/>
    <mergeCell ref="D14:D15"/>
    <mergeCell ref="D16:D17"/>
    <mergeCell ref="A18:A19"/>
    <mergeCell ref="O18:O19"/>
    <mergeCell ref="AC18:AC19"/>
    <mergeCell ref="A8:A9"/>
    <mergeCell ref="O8:O9"/>
    <mergeCell ref="AC8:AC9"/>
    <mergeCell ref="D6:D7"/>
    <mergeCell ref="D8:D9"/>
    <mergeCell ref="A10:A11"/>
    <mergeCell ref="O10:O11"/>
    <mergeCell ref="AC10:AC11"/>
    <mergeCell ref="A12:A13"/>
    <mergeCell ref="O12:O13"/>
    <mergeCell ref="AC12:AC13"/>
    <mergeCell ref="D10:D11"/>
    <mergeCell ref="D12:D13"/>
    <mergeCell ref="A1:J2"/>
    <mergeCell ref="O1:X2"/>
    <mergeCell ref="AC1:AL2"/>
    <mergeCell ref="A4:A5"/>
    <mergeCell ref="O4:O5"/>
    <mergeCell ref="AC4:AC5"/>
    <mergeCell ref="D4:D5"/>
    <mergeCell ref="A6:A7"/>
    <mergeCell ref="O6:O7"/>
    <mergeCell ref="AC6:AC7"/>
    <mergeCell ref="A72:A73"/>
    <mergeCell ref="D72:D73"/>
    <mergeCell ref="O72:O73"/>
    <mergeCell ref="AC72:AC73"/>
    <mergeCell ref="A74:A75"/>
    <mergeCell ref="D74:D75"/>
    <mergeCell ref="O74:O75"/>
    <mergeCell ref="AC74:AC75"/>
    <mergeCell ref="A68:A69"/>
    <mergeCell ref="D68:D69"/>
    <mergeCell ref="O68:O69"/>
    <mergeCell ref="AC68:AC69"/>
    <mergeCell ref="A70:A71"/>
    <mergeCell ref="D70:D71"/>
    <mergeCell ref="O70:O71"/>
    <mergeCell ref="AC70:AC71"/>
    <mergeCell ref="R68:R69"/>
    <mergeCell ref="R70:R71"/>
    <mergeCell ref="R72:R73"/>
    <mergeCell ref="R74:R75"/>
    <mergeCell ref="A80:A81"/>
    <mergeCell ref="A82:A83"/>
    <mergeCell ref="A84:A85"/>
    <mergeCell ref="A86:A87"/>
    <mergeCell ref="A76:A77"/>
    <mergeCell ref="D76:D77"/>
    <mergeCell ref="O76:O77"/>
    <mergeCell ref="AC76:AC77"/>
    <mergeCell ref="A78:A79"/>
    <mergeCell ref="D78:D79"/>
    <mergeCell ref="O78:O79"/>
    <mergeCell ref="AC78:AC79"/>
    <mergeCell ref="D80:D81"/>
    <mergeCell ref="D82:D83"/>
    <mergeCell ref="D84:D85"/>
    <mergeCell ref="D86:D87"/>
    <mergeCell ref="R76:R77"/>
    <mergeCell ref="R78:R79"/>
    <mergeCell ref="O80:O81"/>
    <mergeCell ref="R80:R81"/>
    <mergeCell ref="O82:O83"/>
    <mergeCell ref="R82:R83"/>
    <mergeCell ref="O84:O85"/>
    <mergeCell ref="R84:R85"/>
    <mergeCell ref="O86:O87"/>
    <mergeCell ref="R86:R87"/>
    <mergeCell ref="AF68:AF69"/>
    <mergeCell ref="AF70:AF71"/>
    <mergeCell ref="AF72:AF73"/>
    <mergeCell ref="AF74:AF75"/>
    <mergeCell ref="AF76:AF77"/>
    <mergeCell ref="AF78:AF79"/>
    <mergeCell ref="AC80:AC81"/>
    <mergeCell ref="AF80:AF81"/>
    <mergeCell ref="AC82:AC83"/>
    <mergeCell ref="AF82:AF83"/>
    <mergeCell ref="AC84:AC85"/>
    <mergeCell ref="AF84:AF85"/>
    <mergeCell ref="AC86:AC87"/>
    <mergeCell ref="AF86:AF8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F321-DBC6-174C-9DD5-85CAA97CBE8B}">
  <dimension ref="A1:Q87"/>
  <sheetViews>
    <sheetView topLeftCell="H1" zoomScale="120" zoomScaleNormal="120" workbookViewId="0">
      <selection activeCell="P3" sqref="P3:P4"/>
    </sheetView>
  </sheetViews>
  <sheetFormatPr baseColWidth="10" defaultRowHeight="16" x14ac:dyDescent="0.2"/>
  <cols>
    <col min="1" max="1" width="15.1640625" bestFit="1" customWidth="1"/>
    <col min="8" max="8" width="45.6640625" style="78" customWidth="1"/>
    <col min="9" max="10" width="45.6640625" style="78" hidden="1" customWidth="1"/>
    <col min="11" max="11" width="9.83203125" bestFit="1" customWidth="1"/>
    <col min="12" max="12" width="9" bestFit="1" customWidth="1"/>
    <col min="13" max="13" width="4.6640625" bestFit="1" customWidth="1"/>
  </cols>
  <sheetData>
    <row r="1" spans="1:17" ht="36" customHeight="1" x14ac:dyDescent="0.2">
      <c r="B1" s="188" t="s">
        <v>61</v>
      </c>
      <c r="C1" s="188"/>
      <c r="D1" s="188"/>
      <c r="E1" s="188" t="s">
        <v>78</v>
      </c>
      <c r="F1" s="188"/>
      <c r="G1" s="188"/>
      <c r="H1" s="188" t="s">
        <v>80</v>
      </c>
      <c r="I1" s="188"/>
      <c r="J1" s="188"/>
      <c r="K1" s="188"/>
      <c r="L1" s="188"/>
      <c r="M1" s="188"/>
    </row>
    <row r="2" spans="1:17" ht="33" customHeight="1" x14ac:dyDescent="0.2">
      <c r="A2" s="71" t="s">
        <v>35</v>
      </c>
      <c r="B2" s="72" t="s">
        <v>52</v>
      </c>
      <c r="C2" s="72" t="s">
        <v>53</v>
      </c>
      <c r="D2" s="72" t="s">
        <v>54</v>
      </c>
      <c r="E2" s="70" t="s">
        <v>52</v>
      </c>
      <c r="F2" s="70" t="s">
        <v>53</v>
      </c>
      <c r="G2" s="70" t="s">
        <v>54</v>
      </c>
      <c r="H2" s="129" t="s">
        <v>62</v>
      </c>
      <c r="I2" s="129" t="s">
        <v>86</v>
      </c>
      <c r="J2" s="129" t="s">
        <v>88</v>
      </c>
      <c r="K2" s="129" t="s">
        <v>63</v>
      </c>
      <c r="L2" s="129" t="s">
        <v>64</v>
      </c>
      <c r="M2" s="129" t="s">
        <v>55</v>
      </c>
      <c r="N2" s="129" t="s">
        <v>96</v>
      </c>
      <c r="O2" s="129" t="s">
        <v>97</v>
      </c>
      <c r="P2" s="129" t="s">
        <v>101</v>
      </c>
      <c r="Q2" s="129" t="s">
        <v>102</v>
      </c>
    </row>
    <row r="3" spans="1:17" x14ac:dyDescent="0.2">
      <c r="A3" s="185">
        <f>'Sample Metadata'!D2</f>
        <v>0</v>
      </c>
      <c r="B3" s="57" t="str">
        <f>IF(ISNUMBER('qPCR Run Entry'!G4),'qPCR Run Entry'!G4,"")</f>
        <v/>
      </c>
      <c r="C3" s="57" t="str">
        <f>IF(ISNUMBER('qPCR Run Entry'!R4),'qPCR Run Entry'!R4,"")</f>
        <v/>
      </c>
      <c r="D3" s="57" t="str">
        <f>IF(ISNUMBER('qPCR Run Entry'!AC4),'qPCR Run Entry'!AC4,"")</f>
        <v/>
      </c>
      <c r="E3" s="69" t="s">
        <v>79</v>
      </c>
      <c r="F3" s="69"/>
      <c r="G3" s="69"/>
      <c r="H3" s="119" t="e">
        <f>IF(E3="X",10^((B3-'Standard Curve'!$B$20)/'Standard Curve'!$B$19),IF(F3="X",10^((C3-'Standard Curve'!$B$20)/'Standard Curve'!$B$19),IF(G3="X",10^((D3-'Standard Curve'!$B$20)/'Standard Curve'!$B$19),"")))</f>
        <v>#VALUE!</v>
      </c>
      <c r="I3" s="119" t="e">
        <f>AVERAGE(H3:H4)</f>
        <v>#VALUE!</v>
      </c>
      <c r="J3" s="119" t="e">
        <f>STDEV(H3:H4)</f>
        <v>#VALUE!</v>
      </c>
      <c r="K3" s="149" t="e">
        <f>AVERAGE(H3:H4)</f>
        <v>#VALUE!</v>
      </c>
      <c r="L3" s="149" t="e">
        <f>STDEV(H3:H4)</f>
        <v>#VALUE!</v>
      </c>
      <c r="M3" s="187" t="e">
        <f>L3/K3</f>
        <v>#VALUE!</v>
      </c>
      <c r="N3" s="189" t="e">
        <f>IF(M3&lt;40%, "Pass","Fail")</f>
        <v>#VALUE!</v>
      </c>
      <c r="O3" s="151" t="str">
        <f>IF(OR(B3 &lt;'Outlier Check'!$L$2, B4 &lt;'Outlier Check'!$L$2, C3 &lt;'Outlier Check'!$L$2, C4 &lt;'Outlier Check'!$L$2, D3 &lt;'Outlier Check'!$L$2, D4 &lt;'Outlier Check'!$L$2), "Fail", "Pass")</f>
        <v>Pass</v>
      </c>
      <c r="P3" s="151" t="e">
        <f>IF(AND(H3&gt;=45, H4&gt;=45), "Pass", "Fail")</f>
        <v>#VALUE!</v>
      </c>
      <c r="Q3" s="151" t="e">
        <f>IF(AND(H3&gt;=100, H4&gt;=100), "Pass", "Fail")</f>
        <v>#VALUE!</v>
      </c>
    </row>
    <row r="4" spans="1:17" x14ac:dyDescent="0.2">
      <c r="A4" s="186"/>
      <c r="B4" s="57" t="str">
        <f>IF(ISNUMBER('qPCR Run Entry'!G5),'qPCR Run Entry'!G5,"")</f>
        <v/>
      </c>
      <c r="C4" s="57" t="str">
        <f>IF(ISNUMBER('qPCR Run Entry'!R5),'qPCR Run Entry'!R5,"")</f>
        <v/>
      </c>
      <c r="D4" s="57" t="str">
        <f>IF(ISNUMBER('qPCR Run Entry'!AC5),'qPCR Run Entry'!AC5,"")</f>
        <v/>
      </c>
      <c r="E4" s="69" t="s">
        <v>79</v>
      </c>
      <c r="F4" s="69"/>
      <c r="G4" s="69"/>
      <c r="H4" s="119" t="e">
        <f>IF(E4="X",10^((B4-'Standard Curve'!$B$20)/'Standard Curve'!$B$19),IF(F4="X",10^((C4-'Standard Curve'!$B$20)/'Standard Curve'!$B$19),IF(G4="X",10^((D4-'Standard Curve'!$B$20)/'Standard Curve'!$B$19),"")))</f>
        <v>#VALUE!</v>
      </c>
      <c r="I4" s="119" t="e">
        <f>AVERAGE(H3:H4)</f>
        <v>#VALUE!</v>
      </c>
      <c r="J4" s="119" t="e">
        <f>STDEV(H3:H4)</f>
        <v>#VALUE!</v>
      </c>
      <c r="K4" s="149"/>
      <c r="L4" s="149"/>
      <c r="M4" s="187"/>
      <c r="N4" s="151"/>
      <c r="O4" s="151"/>
      <c r="P4" s="151"/>
      <c r="Q4" s="151"/>
    </row>
    <row r="5" spans="1:17" x14ac:dyDescent="0.2">
      <c r="A5" s="185">
        <f>'Sample Metadata'!D3</f>
        <v>0</v>
      </c>
      <c r="B5" s="57" t="str">
        <f>IF(ISNUMBER('qPCR Run Entry'!G6),'qPCR Run Entry'!G6,"")</f>
        <v/>
      </c>
      <c r="C5" s="57" t="str">
        <f>IF(ISNUMBER('qPCR Run Entry'!R6),'qPCR Run Entry'!R6,"")</f>
        <v/>
      </c>
      <c r="D5" s="57" t="str">
        <f>IF(ISNUMBER('qPCR Run Entry'!AC6),'qPCR Run Entry'!AC6,"")</f>
        <v/>
      </c>
      <c r="E5" s="69" t="s">
        <v>79</v>
      </c>
      <c r="F5" s="69"/>
      <c r="G5" s="69"/>
      <c r="H5" s="119" t="e">
        <f>IF(E5="X",10^((B5-'Standard Curve'!$B$20)/'Standard Curve'!$B$19),IF(F5="X",10^((C5-'Standard Curve'!$B$20)/'Standard Curve'!$B$19),IF(G5="X",10^((D5-'Standard Curve'!$B$20)/'Standard Curve'!$B$19),"")))</f>
        <v>#VALUE!</v>
      </c>
      <c r="I5" s="119" t="e">
        <f>AVERAGE(H5:H6)</f>
        <v>#VALUE!</v>
      </c>
      <c r="J5" s="119" t="e">
        <f>STDEV(H5:H6)</f>
        <v>#VALUE!</v>
      </c>
      <c r="K5" s="149" t="e">
        <f>AVERAGE(H5:H6)</f>
        <v>#VALUE!</v>
      </c>
      <c r="L5" s="149" t="e">
        <f>STDEV(H5:H6)</f>
        <v>#VALUE!</v>
      </c>
      <c r="M5" s="187" t="e">
        <f>L5/K5</f>
        <v>#VALUE!</v>
      </c>
      <c r="N5" s="189" t="e">
        <f>IF(M5&lt;40%, "Pass","Fail")</f>
        <v>#VALUE!</v>
      </c>
      <c r="O5" s="151" t="str">
        <f>IF(OR(B5 &lt;'Outlier Check'!$L$2, B6 &lt;'Outlier Check'!$L$2, C5 &lt;'Outlier Check'!$L$2, C6 &lt;'Outlier Check'!$L$2, D5 &lt;'Outlier Check'!$L$2, D6 &lt;'Outlier Check'!$L$2), "Fail", "Pass")</f>
        <v>Pass</v>
      </c>
      <c r="P5" s="151" t="e">
        <f>IF(AND(H5&gt;=45, H6&gt;=45), "Pass", "Fail")</f>
        <v>#VALUE!</v>
      </c>
      <c r="Q5" s="151" t="e">
        <f>IF(AND(H5&gt;=100, H6&gt;=100), "Pass", "Fail")</f>
        <v>#VALUE!</v>
      </c>
    </row>
    <row r="6" spans="1:17" x14ac:dyDescent="0.2">
      <c r="A6" s="186"/>
      <c r="B6" s="57" t="str">
        <f>IF(ISNUMBER('qPCR Run Entry'!G7),'qPCR Run Entry'!G7,"")</f>
        <v/>
      </c>
      <c r="C6" s="57" t="str">
        <f>IF(ISNUMBER('qPCR Run Entry'!R7),'qPCR Run Entry'!R7,"")</f>
        <v/>
      </c>
      <c r="D6" s="57" t="str">
        <f>IF(ISNUMBER('qPCR Run Entry'!AC7),'qPCR Run Entry'!AC7,"")</f>
        <v/>
      </c>
      <c r="E6" s="69" t="s">
        <v>79</v>
      </c>
      <c r="F6" s="69"/>
      <c r="G6" s="69"/>
      <c r="H6" s="119" t="e">
        <f>IF(E6="X",10^((B6-'Standard Curve'!$B$20)/'Standard Curve'!$B$19),IF(F6="X",10^((C6-'Standard Curve'!$B$20)/'Standard Curve'!$B$19),IF(G6="X",10^((D6-'Standard Curve'!$B$20)/'Standard Curve'!$B$19),"")))</f>
        <v>#VALUE!</v>
      </c>
      <c r="I6" s="119" t="e">
        <f>AVERAGE(H5:H6)</f>
        <v>#VALUE!</v>
      </c>
      <c r="J6" s="119" t="e">
        <f>STDEV(H5:H6)</f>
        <v>#VALUE!</v>
      </c>
      <c r="K6" s="149"/>
      <c r="L6" s="149"/>
      <c r="M6" s="187"/>
      <c r="N6" s="151"/>
      <c r="O6" s="151"/>
      <c r="P6" s="151"/>
      <c r="Q6" s="151"/>
    </row>
    <row r="7" spans="1:17" x14ac:dyDescent="0.2">
      <c r="A7" s="185">
        <f>'Sample Metadata'!D4</f>
        <v>0</v>
      </c>
      <c r="B7" s="57" t="str">
        <f>IF(ISNUMBER('qPCR Run Entry'!G8),'qPCR Run Entry'!G8,"")</f>
        <v/>
      </c>
      <c r="C7" s="57" t="str">
        <f>IF(ISNUMBER('qPCR Run Entry'!R8),'qPCR Run Entry'!R8,"")</f>
        <v/>
      </c>
      <c r="D7" s="57" t="str">
        <f>IF(ISNUMBER('qPCR Run Entry'!AC8),'qPCR Run Entry'!AC8,"")</f>
        <v/>
      </c>
      <c r="E7" s="69" t="s">
        <v>79</v>
      </c>
      <c r="F7" s="69"/>
      <c r="G7" s="69"/>
      <c r="H7" s="119" t="e">
        <f>IF(E7="X",10^((B7-'Standard Curve'!$B$20)/'Standard Curve'!$B$19),IF(F7="X",10^((C7-'Standard Curve'!$B$20)/'Standard Curve'!$B$19),IF(G7="X",10^((D7-'Standard Curve'!$B$20)/'Standard Curve'!$B$19),"")))</f>
        <v>#VALUE!</v>
      </c>
      <c r="I7" s="119" t="e">
        <f>AVERAGE(H7:H8)</f>
        <v>#VALUE!</v>
      </c>
      <c r="J7" s="119" t="e">
        <f t="shared" ref="J7" si="0">STDEV(H7:H8)</f>
        <v>#VALUE!</v>
      </c>
      <c r="K7" s="149" t="e">
        <f t="shared" ref="K7" si="1">AVERAGE(H7:H8)</f>
        <v>#VALUE!</v>
      </c>
      <c r="L7" s="149" t="e">
        <f t="shared" ref="L7" si="2">STDEV(H7:H8)</f>
        <v>#VALUE!</v>
      </c>
      <c r="M7" s="187" t="e">
        <f>L7/K7</f>
        <v>#VALUE!</v>
      </c>
      <c r="N7" s="189" t="e">
        <f>IF(M7&lt;40%, "Pass","Fail")</f>
        <v>#VALUE!</v>
      </c>
      <c r="O7" s="151" t="str">
        <f>IF(OR(B7 &lt;'Outlier Check'!$L$2, B8 &lt;'Outlier Check'!$L$2, C7 &lt;'Outlier Check'!$L$2, C8 &lt;'Outlier Check'!$L$2, D7 &lt;'Outlier Check'!$L$2, D8 &lt;'Outlier Check'!$L$2), "Fail", "Pass")</f>
        <v>Pass</v>
      </c>
      <c r="P7" s="151" t="e">
        <f>IF(AND(H7&gt;=45, H8&gt;=45), "Pass", "Fail")</f>
        <v>#VALUE!</v>
      </c>
      <c r="Q7" s="151" t="e">
        <f>IF(AND(H7&gt;=100, H8&gt;=100), "Pass", "Fail")</f>
        <v>#VALUE!</v>
      </c>
    </row>
    <row r="8" spans="1:17" x14ac:dyDescent="0.2">
      <c r="A8" s="186"/>
      <c r="B8" s="57" t="str">
        <f>IF(ISNUMBER('qPCR Run Entry'!G9),'qPCR Run Entry'!G9,"")</f>
        <v/>
      </c>
      <c r="C8" s="57" t="str">
        <f>IF(ISNUMBER('qPCR Run Entry'!R9),'qPCR Run Entry'!R9,"")</f>
        <v/>
      </c>
      <c r="D8" s="57" t="str">
        <f>IF(ISNUMBER('qPCR Run Entry'!AC9),'qPCR Run Entry'!AC9,"")</f>
        <v/>
      </c>
      <c r="E8" s="69" t="s">
        <v>79</v>
      </c>
      <c r="F8" s="69"/>
      <c r="G8" s="69"/>
      <c r="H8" s="119" t="e">
        <f>IF(E8="X",10^((B8-'Standard Curve'!$B$20)/'Standard Curve'!$B$19),IF(F8="X",10^((C8-'Standard Curve'!$B$20)/'Standard Curve'!$B$19),IF(G8="X",10^((D8-'Standard Curve'!$B$20)/'Standard Curve'!$B$19),"")))</f>
        <v>#VALUE!</v>
      </c>
      <c r="I8" s="119" t="e">
        <f>AVERAGE(H7:H8)</f>
        <v>#VALUE!</v>
      </c>
      <c r="J8" s="119" t="e">
        <f t="shared" ref="J8" si="3">STDEV(H7:H8)</f>
        <v>#VALUE!</v>
      </c>
      <c r="K8" s="149"/>
      <c r="L8" s="149"/>
      <c r="M8" s="187"/>
      <c r="N8" s="151"/>
      <c r="O8" s="151"/>
      <c r="P8" s="151"/>
      <c r="Q8" s="151"/>
    </row>
    <row r="9" spans="1:17" x14ac:dyDescent="0.2">
      <c r="A9" s="185">
        <f>'Sample Metadata'!D5</f>
        <v>0</v>
      </c>
      <c r="B9" s="57" t="str">
        <f>IF(ISNUMBER('qPCR Run Entry'!G10),'qPCR Run Entry'!G10,"")</f>
        <v/>
      </c>
      <c r="C9" s="57" t="str">
        <f>IF(ISNUMBER('qPCR Run Entry'!R10),'qPCR Run Entry'!R10,"")</f>
        <v/>
      </c>
      <c r="D9" s="57" t="str">
        <f>IF(ISNUMBER('qPCR Run Entry'!AC10),'qPCR Run Entry'!AC10,"")</f>
        <v/>
      </c>
      <c r="E9" s="69" t="s">
        <v>79</v>
      </c>
      <c r="F9" s="69"/>
      <c r="G9" s="69"/>
      <c r="H9" s="119" t="e">
        <f>IF(E9="X",10^((B9-'Standard Curve'!$B$20)/'Standard Curve'!$B$19),IF(F9="X",10^((C9-'Standard Curve'!$B$20)/'Standard Curve'!$B$19),IF(G9="X",10^((D9-'Standard Curve'!$B$20)/'Standard Curve'!$B$19),"")))</f>
        <v>#VALUE!</v>
      </c>
      <c r="I9" s="119" t="e">
        <f t="shared" ref="I9" si="4">AVERAGE(H9:H10)</f>
        <v>#VALUE!</v>
      </c>
      <c r="J9" s="119" t="e">
        <f t="shared" ref="J9" si="5">STDEV(H9:H10)</f>
        <v>#VALUE!</v>
      </c>
      <c r="K9" s="149" t="e">
        <f t="shared" ref="K9" si="6">AVERAGE(H9:H10)</f>
        <v>#VALUE!</v>
      </c>
      <c r="L9" s="149" t="e">
        <f t="shared" ref="L9" si="7">STDEV(H9:H10)</f>
        <v>#VALUE!</v>
      </c>
      <c r="M9" s="187" t="e">
        <f>L9/K9</f>
        <v>#VALUE!</v>
      </c>
      <c r="N9" s="189" t="e">
        <f t="shared" ref="N9" si="8">IF(M9&lt;40%, "Pass","Fail")</f>
        <v>#VALUE!</v>
      </c>
      <c r="O9" s="151" t="str">
        <f>IF(OR(B9 &lt;'Outlier Check'!$L$2, B10 &lt;'Outlier Check'!$L$2, C9 &lt;'Outlier Check'!$L$2, C10 &lt;'Outlier Check'!$L$2, D9 &lt;'Outlier Check'!$L$2, D10 &lt;'Outlier Check'!$L$2), "Fail", "Pass")</f>
        <v>Pass</v>
      </c>
      <c r="P9" s="151" t="e">
        <f>IF(AND(H9&gt;=45, H10&gt;=45), "Pass", "Fail")</f>
        <v>#VALUE!</v>
      </c>
      <c r="Q9" s="151" t="e">
        <f>IF(AND(H9&gt;=100, H10&gt;=100), "Pass", "Fail")</f>
        <v>#VALUE!</v>
      </c>
    </row>
    <row r="10" spans="1:17" x14ac:dyDescent="0.2">
      <c r="A10" s="186"/>
      <c r="B10" s="57" t="str">
        <f>IF(ISNUMBER('qPCR Run Entry'!G11),'qPCR Run Entry'!G11,"")</f>
        <v/>
      </c>
      <c r="C10" s="57" t="str">
        <f>IF(ISNUMBER('qPCR Run Entry'!R11),'qPCR Run Entry'!R11,"")</f>
        <v/>
      </c>
      <c r="D10" s="57" t="str">
        <f>IF(ISNUMBER('qPCR Run Entry'!AC11),'qPCR Run Entry'!AC11,"")</f>
        <v/>
      </c>
      <c r="E10" s="69" t="s">
        <v>79</v>
      </c>
      <c r="F10" s="69"/>
      <c r="G10" s="69"/>
      <c r="H10" s="119" t="e">
        <f>IF(E10="X",10^((B10-'Standard Curve'!$B$20)/'Standard Curve'!$B$19),IF(F10="X",10^((C10-'Standard Curve'!$B$20)/'Standard Curve'!$B$19),IF(G10="X",10^((D10-'Standard Curve'!$B$20)/'Standard Curve'!$B$19),"")))</f>
        <v>#VALUE!</v>
      </c>
      <c r="I10" s="119" t="e">
        <f t="shared" ref="I10" si="9">AVERAGE(H9:H10)</f>
        <v>#VALUE!</v>
      </c>
      <c r="J10" s="119" t="e">
        <f t="shared" ref="J10" si="10">STDEV(H9:H10)</f>
        <v>#VALUE!</v>
      </c>
      <c r="K10" s="149"/>
      <c r="L10" s="149"/>
      <c r="M10" s="187"/>
      <c r="N10" s="151"/>
      <c r="O10" s="151"/>
      <c r="P10" s="151"/>
      <c r="Q10" s="151"/>
    </row>
    <row r="11" spans="1:17" x14ac:dyDescent="0.2">
      <c r="A11" s="185">
        <f>'Sample Metadata'!D6</f>
        <v>0</v>
      </c>
      <c r="B11" s="57" t="str">
        <f>IF(ISNUMBER('qPCR Run Entry'!G12),'qPCR Run Entry'!G12,"")</f>
        <v/>
      </c>
      <c r="C11" s="57" t="str">
        <f>IF(ISNUMBER('qPCR Run Entry'!R12),'qPCR Run Entry'!R12,"")</f>
        <v/>
      </c>
      <c r="D11" s="57" t="str">
        <f>IF(ISNUMBER('qPCR Run Entry'!AC12),'qPCR Run Entry'!AC12,"")</f>
        <v/>
      </c>
      <c r="E11" s="69" t="s">
        <v>79</v>
      </c>
      <c r="F11" s="69"/>
      <c r="G11" s="69"/>
      <c r="H11" s="119" t="e">
        <f>IF(E11="X",10^((B11-'Standard Curve'!$B$20)/'Standard Curve'!$B$19),IF(F11="X",10^((C11-'Standard Curve'!$B$20)/'Standard Curve'!$B$19),IF(G11="X",10^((D11-'Standard Curve'!$B$20)/'Standard Curve'!$B$19),"")))</f>
        <v>#VALUE!</v>
      </c>
      <c r="I11" s="119" t="e">
        <f t="shared" ref="I11" si="11">AVERAGE(H11:H12)</f>
        <v>#VALUE!</v>
      </c>
      <c r="J11" s="119" t="e">
        <f t="shared" ref="J11" si="12">STDEV(H11:H12)</f>
        <v>#VALUE!</v>
      </c>
      <c r="K11" s="149" t="e">
        <f t="shared" ref="K11" si="13">AVERAGE(H11:H12)</f>
        <v>#VALUE!</v>
      </c>
      <c r="L11" s="149" t="e">
        <f t="shared" ref="L11" si="14">STDEV(H11:H12)</f>
        <v>#VALUE!</v>
      </c>
      <c r="M11" s="187" t="e">
        <f>L11/K11</f>
        <v>#VALUE!</v>
      </c>
      <c r="N11" s="189" t="e">
        <f t="shared" ref="N11" si="15">IF(M11&lt;40%, "Pass","Fail")</f>
        <v>#VALUE!</v>
      </c>
      <c r="O11" s="151" t="str">
        <f>IF(OR(B11 &lt;'Outlier Check'!$L$2, B12 &lt;'Outlier Check'!$L$2, C11 &lt;'Outlier Check'!$L$2, C12 &lt;'Outlier Check'!$L$2, D11 &lt;'Outlier Check'!$L$2, D12 &lt;'Outlier Check'!$L$2), "Fail", "Pass")</f>
        <v>Pass</v>
      </c>
      <c r="P11" s="151" t="e">
        <f>IF(AND(H11&gt;=45, H12&gt;=45), "Pass", "Fail")</f>
        <v>#VALUE!</v>
      </c>
      <c r="Q11" s="151" t="e">
        <f>IF(AND(H11&gt;=100, H12&gt;=100), "Pass", "Fail")</f>
        <v>#VALUE!</v>
      </c>
    </row>
    <row r="12" spans="1:17" x14ac:dyDescent="0.2">
      <c r="A12" s="186"/>
      <c r="B12" s="57" t="str">
        <f>IF(ISNUMBER('qPCR Run Entry'!G13),'qPCR Run Entry'!G13,"")</f>
        <v/>
      </c>
      <c r="C12" s="57" t="str">
        <f>IF(ISNUMBER('qPCR Run Entry'!R13),'qPCR Run Entry'!R13,"")</f>
        <v/>
      </c>
      <c r="D12" s="57" t="str">
        <f>IF(ISNUMBER('qPCR Run Entry'!AC13),'qPCR Run Entry'!AC13,"")</f>
        <v/>
      </c>
      <c r="E12" s="69" t="s">
        <v>79</v>
      </c>
      <c r="F12" s="69"/>
      <c r="G12" s="69"/>
      <c r="H12" s="119" t="e">
        <f>IF(E12="X",10^((B12-'Standard Curve'!$B$20)/'Standard Curve'!$B$19),IF(F12="X",10^((C12-'Standard Curve'!$B$20)/'Standard Curve'!$B$19),IF(G12="X",10^((D12-'Standard Curve'!$B$20)/'Standard Curve'!$B$19),"")))</f>
        <v>#VALUE!</v>
      </c>
      <c r="I12" s="119" t="e">
        <f t="shared" ref="I12" si="16">AVERAGE(H11:H12)</f>
        <v>#VALUE!</v>
      </c>
      <c r="J12" s="119" t="e">
        <f t="shared" ref="J12" si="17">STDEV(H11:H12)</f>
        <v>#VALUE!</v>
      </c>
      <c r="K12" s="149"/>
      <c r="L12" s="149"/>
      <c r="M12" s="187"/>
      <c r="N12" s="151"/>
      <c r="O12" s="151"/>
      <c r="P12" s="151"/>
      <c r="Q12" s="151"/>
    </row>
    <row r="13" spans="1:17" x14ac:dyDescent="0.2">
      <c r="A13" s="185">
        <f>'Sample Metadata'!D7</f>
        <v>0</v>
      </c>
      <c r="B13" s="57" t="str">
        <f>IF(ISNUMBER('qPCR Run Entry'!G14),'qPCR Run Entry'!G14,"")</f>
        <v/>
      </c>
      <c r="C13" s="57" t="str">
        <f>IF(ISNUMBER('qPCR Run Entry'!R14),'qPCR Run Entry'!R14,"")</f>
        <v/>
      </c>
      <c r="D13" s="57" t="str">
        <f>IF(ISNUMBER('qPCR Run Entry'!AC14),'qPCR Run Entry'!AC14,"")</f>
        <v/>
      </c>
      <c r="E13" s="69" t="s">
        <v>79</v>
      </c>
      <c r="F13" s="69"/>
      <c r="G13" s="69"/>
      <c r="H13" s="119" t="e">
        <f>IF(E13="X",10^((B13-'Standard Curve'!$B$20)/'Standard Curve'!$B$19),IF(F13="X",10^((C13-'Standard Curve'!$B$20)/'Standard Curve'!$B$19),IF(G13="X",10^((D13-'Standard Curve'!$B$20)/'Standard Curve'!$B$19),"")))</f>
        <v>#VALUE!</v>
      </c>
      <c r="I13" s="119" t="e">
        <f t="shared" ref="I13" si="18">AVERAGE(H13:H14)</f>
        <v>#VALUE!</v>
      </c>
      <c r="J13" s="119" t="e">
        <f t="shared" ref="J13" si="19">STDEV(H13:H14)</f>
        <v>#VALUE!</v>
      </c>
      <c r="K13" s="149" t="e">
        <f t="shared" ref="K13" si="20">AVERAGE(H13:H14)</f>
        <v>#VALUE!</v>
      </c>
      <c r="L13" s="149" t="e">
        <f t="shared" ref="L13" si="21">STDEV(H13:H14)</f>
        <v>#VALUE!</v>
      </c>
      <c r="M13" s="187" t="e">
        <f>L13/K13</f>
        <v>#VALUE!</v>
      </c>
      <c r="N13" s="189" t="e">
        <f t="shared" ref="N13" si="22">IF(M13&lt;40%, "Pass","Fail")</f>
        <v>#VALUE!</v>
      </c>
      <c r="O13" s="151" t="str">
        <f>IF(OR(B13 &lt;'Outlier Check'!$L$2, B14 &lt;'Outlier Check'!$L$2, C13 &lt;'Outlier Check'!$L$2, C14 &lt;'Outlier Check'!$L$2, D13 &lt;'Outlier Check'!$L$2, D14 &lt;'Outlier Check'!$L$2), "Fail", "Pass")</f>
        <v>Pass</v>
      </c>
      <c r="P13" s="151" t="e">
        <f>IF(AND(H13&gt;=45, H14&gt;=45), "Pass", "Fail")</f>
        <v>#VALUE!</v>
      </c>
      <c r="Q13" s="151" t="e">
        <f>IF(AND(H13&gt;=100, H14&gt;=100), "Pass", "Fail")</f>
        <v>#VALUE!</v>
      </c>
    </row>
    <row r="14" spans="1:17" x14ac:dyDescent="0.2">
      <c r="A14" s="186"/>
      <c r="B14" s="57" t="str">
        <f>IF(ISNUMBER('qPCR Run Entry'!G15),'qPCR Run Entry'!G15,"")</f>
        <v/>
      </c>
      <c r="C14" s="57" t="str">
        <f>IF(ISNUMBER('qPCR Run Entry'!R15),'qPCR Run Entry'!R15,"")</f>
        <v/>
      </c>
      <c r="D14" s="57" t="str">
        <f>IF(ISNUMBER('qPCR Run Entry'!AC15),'qPCR Run Entry'!AC15,"")</f>
        <v/>
      </c>
      <c r="E14" s="69" t="s">
        <v>79</v>
      </c>
      <c r="F14" s="69"/>
      <c r="G14" s="69"/>
      <c r="H14" s="119" t="e">
        <f>IF(E14="X",10^((B14-'Standard Curve'!$B$20)/'Standard Curve'!$B$19),IF(F14="X",10^((C14-'Standard Curve'!$B$20)/'Standard Curve'!$B$19),IF(G14="X",10^((D14-'Standard Curve'!$B$20)/'Standard Curve'!$B$19),"")))</f>
        <v>#VALUE!</v>
      </c>
      <c r="I14" s="119" t="e">
        <f t="shared" ref="I14" si="23">AVERAGE(H13:H14)</f>
        <v>#VALUE!</v>
      </c>
      <c r="J14" s="119" t="e">
        <f t="shared" ref="J14" si="24">STDEV(H13:H14)</f>
        <v>#VALUE!</v>
      </c>
      <c r="K14" s="149"/>
      <c r="L14" s="149"/>
      <c r="M14" s="187"/>
      <c r="N14" s="151"/>
      <c r="O14" s="151"/>
      <c r="P14" s="151"/>
      <c r="Q14" s="151"/>
    </row>
    <row r="15" spans="1:17" x14ac:dyDescent="0.2">
      <c r="A15" s="185">
        <f>'Sample Metadata'!D8</f>
        <v>0</v>
      </c>
      <c r="B15" s="57" t="str">
        <f>IF(ISNUMBER('qPCR Run Entry'!G16),'qPCR Run Entry'!G16,"")</f>
        <v/>
      </c>
      <c r="C15" s="57" t="str">
        <f>IF(ISNUMBER('qPCR Run Entry'!R16),'qPCR Run Entry'!R16,"")</f>
        <v/>
      </c>
      <c r="D15" s="57" t="str">
        <f>IF(ISNUMBER('qPCR Run Entry'!AC16),'qPCR Run Entry'!AC16,"")</f>
        <v/>
      </c>
      <c r="E15" s="69" t="s">
        <v>79</v>
      </c>
      <c r="F15" s="69"/>
      <c r="G15" s="69"/>
      <c r="H15" s="119" t="e">
        <f>IF(E15="X",10^((B15-'Standard Curve'!$B$20)/'Standard Curve'!$B$19),IF(F15="X",10^((C15-'Standard Curve'!$B$20)/'Standard Curve'!$B$19),IF(G15="X",10^((D15-'Standard Curve'!$B$20)/'Standard Curve'!$B$19),"")))</f>
        <v>#VALUE!</v>
      </c>
      <c r="I15" s="119" t="e">
        <f t="shared" ref="I15" si="25">AVERAGE(H15:H16)</f>
        <v>#VALUE!</v>
      </c>
      <c r="J15" s="119" t="e">
        <f t="shared" ref="J15" si="26">STDEV(H15:H16)</f>
        <v>#VALUE!</v>
      </c>
      <c r="K15" s="149" t="e">
        <f t="shared" ref="K15" si="27">AVERAGE(H15:H16)</f>
        <v>#VALUE!</v>
      </c>
      <c r="L15" s="149" t="e">
        <f t="shared" ref="L15" si="28">STDEV(H15:H16)</f>
        <v>#VALUE!</v>
      </c>
      <c r="M15" s="187" t="e">
        <f>L15/K15</f>
        <v>#VALUE!</v>
      </c>
      <c r="N15" s="189" t="e">
        <f t="shared" ref="N15" si="29">IF(M15&lt;40%, "Pass","Fail")</f>
        <v>#VALUE!</v>
      </c>
      <c r="O15" s="151" t="str">
        <f>IF(OR(B15 &lt;'Outlier Check'!$L$2, B16 &lt;'Outlier Check'!$L$2, C15 &lt;'Outlier Check'!$L$2, C16 &lt;'Outlier Check'!$L$2, D15 &lt;'Outlier Check'!$L$2, D16 &lt;'Outlier Check'!$L$2), "Fail", "Pass")</f>
        <v>Pass</v>
      </c>
      <c r="P15" s="151" t="e">
        <f>IF(AND(H15&gt;=45, H16&gt;=45), "Pass", "Fail")</f>
        <v>#VALUE!</v>
      </c>
      <c r="Q15" s="151" t="e">
        <f>IF(AND(H15&gt;=100, H16&gt;=100), "Pass", "Fail")</f>
        <v>#VALUE!</v>
      </c>
    </row>
    <row r="16" spans="1:17" x14ac:dyDescent="0.2">
      <c r="A16" s="186"/>
      <c r="B16" s="57" t="str">
        <f>IF(ISNUMBER('qPCR Run Entry'!G17),'qPCR Run Entry'!G17,"")</f>
        <v/>
      </c>
      <c r="C16" s="57" t="str">
        <f>IF(ISNUMBER('qPCR Run Entry'!R17),'qPCR Run Entry'!R17,"")</f>
        <v/>
      </c>
      <c r="D16" s="57" t="str">
        <f>IF(ISNUMBER('qPCR Run Entry'!AC17),'qPCR Run Entry'!AC17,"")</f>
        <v/>
      </c>
      <c r="E16" s="69" t="s">
        <v>79</v>
      </c>
      <c r="F16" s="69"/>
      <c r="G16" s="69"/>
      <c r="H16" s="119" t="e">
        <f>IF(E16="X",10^((B16-'Standard Curve'!$B$20)/'Standard Curve'!$B$19),IF(F16="X",10^((C16-'Standard Curve'!$B$20)/'Standard Curve'!$B$19),IF(G16="X",10^((D16-'Standard Curve'!$B$20)/'Standard Curve'!$B$19),"")))</f>
        <v>#VALUE!</v>
      </c>
      <c r="I16" s="119" t="e">
        <f t="shared" ref="I16" si="30">AVERAGE(H15:H16)</f>
        <v>#VALUE!</v>
      </c>
      <c r="J16" s="119" t="e">
        <f t="shared" ref="J16" si="31">STDEV(H15:H16)</f>
        <v>#VALUE!</v>
      </c>
      <c r="K16" s="149"/>
      <c r="L16" s="149"/>
      <c r="M16" s="187"/>
      <c r="N16" s="151"/>
      <c r="O16" s="151"/>
      <c r="P16" s="151"/>
      <c r="Q16" s="151"/>
    </row>
    <row r="17" spans="1:17" x14ac:dyDescent="0.2">
      <c r="A17" s="185">
        <f>'Sample Metadata'!D9</f>
        <v>0</v>
      </c>
      <c r="B17" s="57" t="str">
        <f>IF(ISNUMBER('qPCR Run Entry'!G18),'qPCR Run Entry'!G18,"")</f>
        <v/>
      </c>
      <c r="C17" s="57" t="str">
        <f>IF(ISNUMBER('qPCR Run Entry'!R18),'qPCR Run Entry'!R18,"")</f>
        <v/>
      </c>
      <c r="D17" s="57" t="str">
        <f>IF(ISNUMBER('qPCR Run Entry'!AC18),'qPCR Run Entry'!AC18,"")</f>
        <v/>
      </c>
      <c r="E17" s="69" t="s">
        <v>79</v>
      </c>
      <c r="F17" s="69"/>
      <c r="G17" s="69"/>
      <c r="H17" s="119" t="e">
        <f>IF(E17="X",10^((B17-'Standard Curve'!$B$20)/'Standard Curve'!$B$19),IF(F17="X",10^((C17-'Standard Curve'!$B$20)/'Standard Curve'!$B$19),IF(G17="X",10^((D17-'Standard Curve'!$B$20)/'Standard Curve'!$B$19),"")))</f>
        <v>#VALUE!</v>
      </c>
      <c r="I17" s="119" t="e">
        <f t="shared" ref="I17" si="32">AVERAGE(H17:H18)</f>
        <v>#VALUE!</v>
      </c>
      <c r="J17" s="119" t="e">
        <f t="shared" ref="J17" si="33">STDEV(H17:H18)</f>
        <v>#VALUE!</v>
      </c>
      <c r="K17" s="149" t="e">
        <f t="shared" ref="K17" si="34">AVERAGE(H17:H18)</f>
        <v>#VALUE!</v>
      </c>
      <c r="L17" s="149" t="e">
        <f t="shared" ref="L17" si="35">STDEV(H17:H18)</f>
        <v>#VALUE!</v>
      </c>
      <c r="M17" s="187" t="e">
        <f>L17/K17</f>
        <v>#VALUE!</v>
      </c>
      <c r="N17" s="189" t="e">
        <f t="shared" ref="N17" si="36">IF(M17&lt;40%, "Pass","Fail")</f>
        <v>#VALUE!</v>
      </c>
      <c r="O17" s="151" t="str">
        <f>IF(OR(B17 &lt;'Outlier Check'!$L$2, B18 &lt;'Outlier Check'!$L$2, C17 &lt;'Outlier Check'!$L$2, C18 &lt;'Outlier Check'!$L$2, D17 &lt;'Outlier Check'!$L$2, D18 &lt;'Outlier Check'!$L$2), "Fail", "Pass")</f>
        <v>Pass</v>
      </c>
      <c r="P17" s="151" t="e">
        <f>IF(AND(H17&gt;=45, H18&gt;=45), "Pass", "Fail")</f>
        <v>#VALUE!</v>
      </c>
      <c r="Q17" s="151" t="e">
        <f>IF(AND(H17&gt;=100, H18&gt;=100), "Pass", "Fail")</f>
        <v>#VALUE!</v>
      </c>
    </row>
    <row r="18" spans="1:17" x14ac:dyDescent="0.2">
      <c r="A18" s="186"/>
      <c r="B18" s="57" t="str">
        <f>IF(ISNUMBER('qPCR Run Entry'!G19),'qPCR Run Entry'!G19,"")</f>
        <v/>
      </c>
      <c r="C18" s="57" t="str">
        <f>IF(ISNUMBER('qPCR Run Entry'!R19),'qPCR Run Entry'!R19,"")</f>
        <v/>
      </c>
      <c r="D18" s="57" t="str">
        <f>IF(ISNUMBER('qPCR Run Entry'!AC19),'qPCR Run Entry'!AC19,"")</f>
        <v/>
      </c>
      <c r="E18" s="69" t="s">
        <v>79</v>
      </c>
      <c r="F18" s="69"/>
      <c r="G18" s="69"/>
      <c r="H18" s="119" t="e">
        <f>IF(E18="X",10^((B18-'Standard Curve'!$B$20)/'Standard Curve'!$B$19),IF(F18="X",10^((C18-'Standard Curve'!$B$20)/'Standard Curve'!$B$19),IF(G18="X",10^((D18-'Standard Curve'!$B$20)/'Standard Curve'!$B$19),"")))</f>
        <v>#VALUE!</v>
      </c>
      <c r="I18" s="119" t="e">
        <f t="shared" ref="I18" si="37">AVERAGE(H17:H18)</f>
        <v>#VALUE!</v>
      </c>
      <c r="J18" s="119" t="e">
        <f t="shared" ref="J18" si="38">STDEV(H17:H18)</f>
        <v>#VALUE!</v>
      </c>
      <c r="K18" s="149"/>
      <c r="L18" s="149"/>
      <c r="M18" s="187"/>
      <c r="N18" s="151"/>
      <c r="O18" s="151"/>
      <c r="P18" s="151"/>
      <c r="Q18" s="151"/>
    </row>
    <row r="19" spans="1:17" x14ac:dyDescent="0.2">
      <c r="A19" s="185">
        <f>'Sample Metadata'!D10</f>
        <v>0</v>
      </c>
      <c r="B19" s="57" t="str">
        <f>IF(ISNUMBER('qPCR Run Entry'!G20),'qPCR Run Entry'!G20,"")</f>
        <v/>
      </c>
      <c r="C19" s="57" t="str">
        <f>IF(ISNUMBER('qPCR Run Entry'!R20),'qPCR Run Entry'!R20,"")</f>
        <v/>
      </c>
      <c r="D19" s="57" t="str">
        <f>IF(ISNUMBER('qPCR Run Entry'!AC20),'qPCR Run Entry'!AC20,"")</f>
        <v/>
      </c>
      <c r="E19" s="69" t="s">
        <v>79</v>
      </c>
      <c r="F19" s="69"/>
      <c r="G19" s="69"/>
      <c r="H19" s="119" t="e">
        <f>IF(E19="X",10^((B19-'Standard Curve'!$B$20)/'Standard Curve'!$B$19),IF(F19="X",10^((C19-'Standard Curve'!$B$20)/'Standard Curve'!$B$19),IF(G19="X",10^((D19-'Standard Curve'!$B$20)/'Standard Curve'!$B$19),"")))</f>
        <v>#VALUE!</v>
      </c>
      <c r="I19" s="119" t="e">
        <f t="shared" ref="I19" si="39">AVERAGE(H19:H20)</f>
        <v>#VALUE!</v>
      </c>
      <c r="J19" s="119" t="e">
        <f t="shared" ref="J19" si="40">STDEV(H19:H20)</f>
        <v>#VALUE!</v>
      </c>
      <c r="K19" s="149" t="e">
        <f t="shared" ref="K19" si="41">AVERAGE(H19:H20)</f>
        <v>#VALUE!</v>
      </c>
      <c r="L19" s="149" t="e">
        <f t="shared" ref="L19" si="42">STDEV(H19:H20)</f>
        <v>#VALUE!</v>
      </c>
      <c r="M19" s="187" t="e">
        <f>L19/K19</f>
        <v>#VALUE!</v>
      </c>
      <c r="N19" s="189" t="e">
        <f t="shared" ref="N19" si="43">IF(M19&lt;40%, "Pass","Fail")</f>
        <v>#VALUE!</v>
      </c>
      <c r="O19" s="151" t="str">
        <f>IF(OR(B19 &lt;'Outlier Check'!$L$2, B20 &lt;'Outlier Check'!$L$2, C19 &lt;'Outlier Check'!$L$2, C20 &lt;'Outlier Check'!$L$2, D19 &lt;'Outlier Check'!$L$2, D20 &lt;'Outlier Check'!$L$2), "Fail", "Pass")</f>
        <v>Pass</v>
      </c>
      <c r="P19" s="151" t="e">
        <f>IF(AND(H19&gt;=45, H20&gt;=45), "Pass", "Fail")</f>
        <v>#VALUE!</v>
      </c>
      <c r="Q19" s="151" t="e">
        <f>IF(AND(H19&gt;=100, H20&gt;=100), "Pass", "Fail")</f>
        <v>#VALUE!</v>
      </c>
    </row>
    <row r="20" spans="1:17" x14ac:dyDescent="0.2">
      <c r="A20" s="186"/>
      <c r="B20" s="57" t="str">
        <f>IF(ISNUMBER('qPCR Run Entry'!G21),'qPCR Run Entry'!G21,"")</f>
        <v/>
      </c>
      <c r="C20" s="57" t="str">
        <f>IF(ISNUMBER('qPCR Run Entry'!R21),'qPCR Run Entry'!R21,"")</f>
        <v/>
      </c>
      <c r="D20" s="57" t="str">
        <f>IF(ISNUMBER('qPCR Run Entry'!AC21),'qPCR Run Entry'!AC21,"")</f>
        <v/>
      </c>
      <c r="E20" s="69" t="s">
        <v>79</v>
      </c>
      <c r="F20" s="69"/>
      <c r="G20" s="69"/>
      <c r="H20" s="119" t="e">
        <f>IF(E20="X",10^((B20-'Standard Curve'!$B$20)/'Standard Curve'!$B$19),IF(F20="X",10^((C20-'Standard Curve'!$B$20)/'Standard Curve'!$B$19),IF(G20="X",10^((D20-'Standard Curve'!$B$20)/'Standard Curve'!$B$19),"")))</f>
        <v>#VALUE!</v>
      </c>
      <c r="I20" s="119" t="e">
        <f t="shared" ref="I20" si="44">AVERAGE(H19:H20)</f>
        <v>#VALUE!</v>
      </c>
      <c r="J20" s="119" t="e">
        <f t="shared" ref="J20" si="45">STDEV(H19:H20)</f>
        <v>#VALUE!</v>
      </c>
      <c r="K20" s="149"/>
      <c r="L20" s="149"/>
      <c r="M20" s="187"/>
      <c r="N20" s="151"/>
      <c r="O20" s="151"/>
      <c r="P20" s="151"/>
      <c r="Q20" s="151"/>
    </row>
    <row r="21" spans="1:17" x14ac:dyDescent="0.2">
      <c r="A21" s="185">
        <f>'Sample Metadata'!D11</f>
        <v>0</v>
      </c>
      <c r="B21" s="57" t="str">
        <f>IF(ISNUMBER('qPCR Run Entry'!G22),'qPCR Run Entry'!G22,"")</f>
        <v/>
      </c>
      <c r="C21" s="57" t="str">
        <f>IF(ISNUMBER('qPCR Run Entry'!R22),'qPCR Run Entry'!R22,"")</f>
        <v/>
      </c>
      <c r="D21" s="57" t="str">
        <f>IF(ISNUMBER('qPCR Run Entry'!AC22),'qPCR Run Entry'!AC22,"")</f>
        <v/>
      </c>
      <c r="E21" s="69" t="s">
        <v>79</v>
      </c>
      <c r="F21" s="69"/>
      <c r="G21" s="69"/>
      <c r="H21" s="119" t="e">
        <f>IF(E21="X",10^((B21-'Standard Curve'!$B$20)/'Standard Curve'!$B$19),IF(F21="X",10^((C21-'Standard Curve'!$B$20)/'Standard Curve'!$B$19),IF(G21="X",10^((D21-'Standard Curve'!$B$20)/'Standard Curve'!$B$19),"")))</f>
        <v>#VALUE!</v>
      </c>
      <c r="I21" s="119" t="e">
        <f t="shared" ref="I21" si="46">AVERAGE(H21:H22)</f>
        <v>#VALUE!</v>
      </c>
      <c r="J21" s="119" t="e">
        <f t="shared" ref="J21" si="47">STDEV(H21:H22)</f>
        <v>#VALUE!</v>
      </c>
      <c r="K21" s="149" t="e">
        <f t="shared" ref="K21" si="48">AVERAGE(H21:H22)</f>
        <v>#VALUE!</v>
      </c>
      <c r="L21" s="149" t="e">
        <f t="shared" ref="L21" si="49">STDEV(H21:H22)</f>
        <v>#VALUE!</v>
      </c>
      <c r="M21" s="187" t="e">
        <f>L21/K21</f>
        <v>#VALUE!</v>
      </c>
      <c r="N21" s="189" t="e">
        <f t="shared" ref="N21" si="50">IF(M21&lt;40%, "Pass","Fail")</f>
        <v>#VALUE!</v>
      </c>
      <c r="O21" s="151" t="str">
        <f>IF(OR(B21 &lt;'Outlier Check'!$L$2, B22 &lt;'Outlier Check'!$L$2, C21 &lt;'Outlier Check'!$L$2, C22 &lt;'Outlier Check'!$L$2, D21 &lt;'Outlier Check'!$L$2, D22 &lt;'Outlier Check'!$L$2), "Fail", "Pass")</f>
        <v>Pass</v>
      </c>
      <c r="P21" s="151" t="e">
        <f>IF(AND(H21&gt;=45, H22&gt;=45), "Pass", "Fail")</f>
        <v>#VALUE!</v>
      </c>
      <c r="Q21" s="151" t="e">
        <f>IF(AND(H21&gt;=100, H22&gt;=100), "Pass", "Fail")</f>
        <v>#VALUE!</v>
      </c>
    </row>
    <row r="22" spans="1:17" x14ac:dyDescent="0.2">
      <c r="A22" s="186"/>
      <c r="B22" s="57" t="str">
        <f>IF(ISNUMBER('qPCR Run Entry'!G23),'qPCR Run Entry'!G23,"")</f>
        <v/>
      </c>
      <c r="C22" s="57" t="str">
        <f>IF(ISNUMBER('qPCR Run Entry'!R23),'qPCR Run Entry'!R23,"")</f>
        <v/>
      </c>
      <c r="D22" s="57" t="str">
        <f>IF(ISNUMBER('qPCR Run Entry'!AC23),'qPCR Run Entry'!AC23,"")</f>
        <v/>
      </c>
      <c r="E22" s="69" t="s">
        <v>79</v>
      </c>
      <c r="F22" s="69"/>
      <c r="G22" s="69"/>
      <c r="H22" s="119" t="e">
        <f>IF(E22="X",10^((B22-'Standard Curve'!$B$20)/'Standard Curve'!$B$19),IF(F22="X",10^((C22-'Standard Curve'!$B$20)/'Standard Curve'!$B$19),IF(G22="X",10^((D22-'Standard Curve'!$B$20)/'Standard Curve'!$B$19),"")))</f>
        <v>#VALUE!</v>
      </c>
      <c r="I22" s="119" t="e">
        <f t="shared" ref="I22" si="51">AVERAGE(H21:H22)</f>
        <v>#VALUE!</v>
      </c>
      <c r="J22" s="119" t="e">
        <f t="shared" ref="J22" si="52">STDEV(H21:H22)</f>
        <v>#VALUE!</v>
      </c>
      <c r="K22" s="149"/>
      <c r="L22" s="149"/>
      <c r="M22" s="187"/>
      <c r="N22" s="151"/>
      <c r="O22" s="151"/>
      <c r="P22" s="151"/>
      <c r="Q22" s="151"/>
    </row>
    <row r="23" spans="1:17" x14ac:dyDescent="0.2">
      <c r="A23" s="185">
        <f>'Sample Metadata'!D12</f>
        <v>0</v>
      </c>
      <c r="B23" s="57" t="str">
        <f>IF(ISNUMBER('qPCR Run Entry'!G24),'qPCR Run Entry'!G24,"")</f>
        <v/>
      </c>
      <c r="C23" s="57" t="str">
        <f>IF(ISNUMBER('qPCR Run Entry'!R24),'qPCR Run Entry'!R24,"")</f>
        <v/>
      </c>
      <c r="D23" s="57" t="str">
        <f>IF(ISNUMBER('qPCR Run Entry'!AC24),'qPCR Run Entry'!AC24,"")</f>
        <v/>
      </c>
      <c r="E23" s="69" t="s">
        <v>79</v>
      </c>
      <c r="F23" s="69"/>
      <c r="G23" s="69"/>
      <c r="H23" s="119" t="e">
        <f>IF(E23="X",10^((B23-'Standard Curve'!$B$20)/'Standard Curve'!$B$19),IF(F23="X",10^((C23-'Standard Curve'!$B$20)/'Standard Curve'!$B$19),IF(G23="X",10^((D23-'Standard Curve'!$B$20)/'Standard Curve'!$B$19),"")))</f>
        <v>#VALUE!</v>
      </c>
      <c r="I23" s="119" t="e">
        <f t="shared" ref="I23" si="53">AVERAGE(H23:H24)</f>
        <v>#VALUE!</v>
      </c>
      <c r="J23" s="119" t="e">
        <f t="shared" ref="J23" si="54">STDEV(H23:H24)</f>
        <v>#VALUE!</v>
      </c>
      <c r="K23" s="149" t="e">
        <f t="shared" ref="K23" si="55">AVERAGE(H23:H24)</f>
        <v>#VALUE!</v>
      </c>
      <c r="L23" s="149" t="e">
        <f t="shared" ref="L23" si="56">STDEV(H23:H24)</f>
        <v>#VALUE!</v>
      </c>
      <c r="M23" s="187" t="e">
        <f>L23/K23</f>
        <v>#VALUE!</v>
      </c>
      <c r="N23" s="189" t="e">
        <f t="shared" ref="N23" si="57">IF(M23&lt;40%, "Pass","Fail")</f>
        <v>#VALUE!</v>
      </c>
      <c r="O23" s="151" t="str">
        <f>IF(OR(B23 &lt;'Outlier Check'!$L$2, B24 &lt;'Outlier Check'!$L$2, C23 &lt;'Outlier Check'!$L$2, C24 &lt;'Outlier Check'!$L$2, D23 &lt;'Outlier Check'!$L$2, D24 &lt;'Outlier Check'!$L$2), "Fail", "Pass")</f>
        <v>Pass</v>
      </c>
      <c r="P23" s="151" t="e">
        <f>IF(AND(H23&gt;=45, H24&gt;=45), "Pass", "Fail")</f>
        <v>#VALUE!</v>
      </c>
      <c r="Q23" s="151" t="e">
        <f>IF(AND(H23&gt;=100, H24&gt;=100), "Pass", "Fail")</f>
        <v>#VALUE!</v>
      </c>
    </row>
    <row r="24" spans="1:17" x14ac:dyDescent="0.2">
      <c r="A24" s="186"/>
      <c r="B24" s="57" t="str">
        <f>IF(ISNUMBER('qPCR Run Entry'!G25),'qPCR Run Entry'!G25,"")</f>
        <v/>
      </c>
      <c r="C24" s="57" t="str">
        <f>IF(ISNUMBER('qPCR Run Entry'!R25),'qPCR Run Entry'!R25,"")</f>
        <v/>
      </c>
      <c r="D24" s="57" t="str">
        <f>IF(ISNUMBER('qPCR Run Entry'!AC25),'qPCR Run Entry'!AC25,"")</f>
        <v/>
      </c>
      <c r="E24" s="69" t="s">
        <v>79</v>
      </c>
      <c r="F24" s="69"/>
      <c r="G24" s="69"/>
      <c r="H24" s="119" t="e">
        <f>IF(E24="X",10^((B24-'Standard Curve'!$B$20)/'Standard Curve'!$B$19),IF(F24="X",10^((C24-'Standard Curve'!$B$20)/'Standard Curve'!$B$19),IF(G24="X",10^((D24-'Standard Curve'!$B$20)/'Standard Curve'!$B$19),"")))</f>
        <v>#VALUE!</v>
      </c>
      <c r="I24" s="119" t="e">
        <f t="shared" ref="I24" si="58">AVERAGE(H23:H24)</f>
        <v>#VALUE!</v>
      </c>
      <c r="J24" s="119" t="e">
        <f t="shared" ref="J24" si="59">STDEV(H23:H24)</f>
        <v>#VALUE!</v>
      </c>
      <c r="K24" s="149"/>
      <c r="L24" s="149"/>
      <c r="M24" s="187"/>
      <c r="N24" s="151"/>
      <c r="O24" s="151"/>
      <c r="P24" s="151"/>
      <c r="Q24" s="151"/>
    </row>
    <row r="25" spans="1:17" x14ac:dyDescent="0.2">
      <c r="A25" s="185">
        <f>'Sample Metadata'!D13</f>
        <v>0</v>
      </c>
      <c r="B25" s="57" t="str">
        <f>IF(ISNUMBER('qPCR Run Entry'!G26),'qPCR Run Entry'!G26,"")</f>
        <v/>
      </c>
      <c r="C25" s="57" t="str">
        <f>IF(ISNUMBER('qPCR Run Entry'!R26),'qPCR Run Entry'!R26,"")</f>
        <v/>
      </c>
      <c r="D25" s="57" t="str">
        <f>IF(ISNUMBER('qPCR Run Entry'!AC26),'qPCR Run Entry'!AC26,"")</f>
        <v/>
      </c>
      <c r="E25" s="69" t="s">
        <v>79</v>
      </c>
      <c r="F25" s="69"/>
      <c r="G25" s="69"/>
      <c r="H25" s="119" t="e">
        <f>IF(E25="X",10^((B25-'Standard Curve'!$B$20)/'Standard Curve'!$B$19),IF(F25="X",10^((C25-'Standard Curve'!$B$20)/'Standard Curve'!$B$19),IF(G25="X",10^((D25-'Standard Curve'!$B$20)/'Standard Curve'!$B$19),"")))</f>
        <v>#VALUE!</v>
      </c>
      <c r="I25" s="119" t="e">
        <f t="shared" ref="I25" si="60">AVERAGE(H25:H26)</f>
        <v>#VALUE!</v>
      </c>
      <c r="J25" s="119" t="e">
        <f t="shared" ref="J25" si="61">STDEV(H25:H26)</f>
        <v>#VALUE!</v>
      </c>
      <c r="K25" s="149" t="e">
        <f t="shared" ref="K25" si="62">AVERAGE(H25:H26)</f>
        <v>#VALUE!</v>
      </c>
      <c r="L25" s="149" t="e">
        <f t="shared" ref="L25" si="63">STDEV(H25:H26)</f>
        <v>#VALUE!</v>
      </c>
      <c r="M25" s="187" t="e">
        <f>L25/K25</f>
        <v>#VALUE!</v>
      </c>
      <c r="N25" s="189" t="e">
        <f t="shared" ref="N25" si="64">IF(M25&lt;40%, "Pass","Fail")</f>
        <v>#VALUE!</v>
      </c>
      <c r="O25" s="151" t="str">
        <f>IF(OR(B25 &lt;'Outlier Check'!$L$2, B26 &lt;'Outlier Check'!$L$2, C25 &lt;'Outlier Check'!$L$2, C26 &lt;'Outlier Check'!$L$2, D25 &lt;'Outlier Check'!$L$2, D26 &lt;'Outlier Check'!$L$2), "Fail", "Pass")</f>
        <v>Pass</v>
      </c>
      <c r="P25" s="151" t="e">
        <f>IF(AND(H25&gt;=45, H26&gt;=45), "Pass", "Fail")</f>
        <v>#VALUE!</v>
      </c>
      <c r="Q25" s="151" t="e">
        <f>IF(AND(H25&gt;=100, H26&gt;=100), "Pass", "Fail")</f>
        <v>#VALUE!</v>
      </c>
    </row>
    <row r="26" spans="1:17" x14ac:dyDescent="0.2">
      <c r="A26" s="186"/>
      <c r="B26" s="57" t="str">
        <f>IF(ISNUMBER('qPCR Run Entry'!G27),'qPCR Run Entry'!G27,"")</f>
        <v/>
      </c>
      <c r="C26" s="57" t="str">
        <f>IF(ISNUMBER('qPCR Run Entry'!R27),'qPCR Run Entry'!R27,"")</f>
        <v/>
      </c>
      <c r="D26" s="57" t="str">
        <f>IF(ISNUMBER('qPCR Run Entry'!AC27),'qPCR Run Entry'!AC27,"")</f>
        <v/>
      </c>
      <c r="E26" s="69" t="s">
        <v>79</v>
      </c>
      <c r="F26" s="69"/>
      <c r="G26" s="69"/>
      <c r="H26" s="119" t="e">
        <f>IF(E26="X",10^((B26-'Standard Curve'!$B$20)/'Standard Curve'!$B$19),IF(F26="X",10^((C26-'Standard Curve'!$B$20)/'Standard Curve'!$B$19),IF(G26="X",10^((D26-'Standard Curve'!$B$20)/'Standard Curve'!$B$19),"")))</f>
        <v>#VALUE!</v>
      </c>
      <c r="I26" s="119" t="e">
        <f t="shared" ref="I26" si="65">AVERAGE(H25:H26)</f>
        <v>#VALUE!</v>
      </c>
      <c r="J26" s="119" t="e">
        <f t="shared" ref="J26" si="66">STDEV(H25:H26)</f>
        <v>#VALUE!</v>
      </c>
      <c r="K26" s="149"/>
      <c r="L26" s="149"/>
      <c r="M26" s="187"/>
      <c r="N26" s="151"/>
      <c r="O26" s="151"/>
      <c r="P26" s="151"/>
      <c r="Q26" s="151"/>
    </row>
    <row r="27" spans="1:17" x14ac:dyDescent="0.2">
      <c r="A27" s="185">
        <f>'Sample Metadata'!D14</f>
        <v>0</v>
      </c>
      <c r="B27" s="57" t="str">
        <f>IF(ISNUMBER('qPCR Run Entry'!G28),'qPCR Run Entry'!G28,"")</f>
        <v/>
      </c>
      <c r="C27" s="57" t="str">
        <f>IF(ISNUMBER('qPCR Run Entry'!R28),'qPCR Run Entry'!R28,"")</f>
        <v/>
      </c>
      <c r="D27" s="57" t="str">
        <f>IF(ISNUMBER('qPCR Run Entry'!AC28),'qPCR Run Entry'!AC28,"")</f>
        <v/>
      </c>
      <c r="E27" s="69" t="s">
        <v>79</v>
      </c>
      <c r="F27" s="69"/>
      <c r="G27" s="69"/>
      <c r="H27" s="119" t="e">
        <f>IF(E27="X",10^((B27-'Standard Curve'!$B$20)/'Standard Curve'!$B$19),IF(F27="X",10^((C27-'Standard Curve'!$B$20)/'Standard Curve'!$B$19),IF(G27="X",10^((D27-'Standard Curve'!$B$20)/'Standard Curve'!$B$19),"")))</f>
        <v>#VALUE!</v>
      </c>
      <c r="I27" s="119" t="e">
        <f t="shared" ref="I27" si="67">AVERAGE(H27:H28)</f>
        <v>#VALUE!</v>
      </c>
      <c r="J27" s="119" t="e">
        <f t="shared" ref="J27" si="68">STDEV(H27:H28)</f>
        <v>#VALUE!</v>
      </c>
      <c r="K27" s="149" t="e">
        <f t="shared" ref="K27" si="69">AVERAGE(H27:H28)</f>
        <v>#VALUE!</v>
      </c>
      <c r="L27" s="149" t="e">
        <f t="shared" ref="L27" si="70">STDEV(H27:H28)</f>
        <v>#VALUE!</v>
      </c>
      <c r="M27" s="187" t="e">
        <f>L27/K27</f>
        <v>#VALUE!</v>
      </c>
      <c r="N27" s="189" t="e">
        <f t="shared" ref="N27" si="71">IF(M27&lt;40%, "Pass","Fail")</f>
        <v>#VALUE!</v>
      </c>
      <c r="O27" s="151" t="str">
        <f>IF(OR(B27 &lt;'Outlier Check'!$L$2, B28 &lt;'Outlier Check'!$L$2, C27 &lt;'Outlier Check'!$L$2, C28 &lt;'Outlier Check'!$L$2, D27 &lt;'Outlier Check'!$L$2, D28 &lt;'Outlier Check'!$L$2), "Fail", "Pass")</f>
        <v>Pass</v>
      </c>
      <c r="P27" s="151" t="e">
        <f>IF(AND(H27&gt;=45, H28&gt;=45), "Pass", "Fail")</f>
        <v>#VALUE!</v>
      </c>
      <c r="Q27" s="151" t="e">
        <f>IF(AND(H27&gt;=100, H28&gt;=100), "Pass", "Fail")</f>
        <v>#VALUE!</v>
      </c>
    </row>
    <row r="28" spans="1:17" x14ac:dyDescent="0.2">
      <c r="A28" s="186"/>
      <c r="B28" s="57" t="str">
        <f>IF(ISNUMBER('qPCR Run Entry'!G29),'qPCR Run Entry'!G29,"")</f>
        <v/>
      </c>
      <c r="C28" s="57" t="str">
        <f>IF(ISNUMBER('qPCR Run Entry'!R29),'qPCR Run Entry'!R29,"")</f>
        <v/>
      </c>
      <c r="D28" s="57" t="str">
        <f>IF(ISNUMBER('qPCR Run Entry'!AC29),'qPCR Run Entry'!AC29,"")</f>
        <v/>
      </c>
      <c r="E28" s="69" t="s">
        <v>79</v>
      </c>
      <c r="F28" s="69"/>
      <c r="G28" s="69"/>
      <c r="H28" s="119" t="e">
        <f>IF(E28="X",10^((B28-'Standard Curve'!$B$20)/'Standard Curve'!$B$19),IF(F28="X",10^((C28-'Standard Curve'!$B$20)/'Standard Curve'!$B$19),IF(G28="X",10^((D28-'Standard Curve'!$B$20)/'Standard Curve'!$B$19),"")))</f>
        <v>#VALUE!</v>
      </c>
      <c r="I28" s="119" t="e">
        <f t="shared" ref="I28" si="72">AVERAGE(H27:H28)</f>
        <v>#VALUE!</v>
      </c>
      <c r="J28" s="119" t="e">
        <f t="shared" ref="J28" si="73">STDEV(H27:H28)</f>
        <v>#VALUE!</v>
      </c>
      <c r="K28" s="149"/>
      <c r="L28" s="149"/>
      <c r="M28" s="187"/>
      <c r="N28" s="151"/>
      <c r="O28" s="151"/>
      <c r="P28" s="151"/>
      <c r="Q28" s="151"/>
    </row>
    <row r="29" spans="1:17" x14ac:dyDescent="0.2">
      <c r="A29" s="185">
        <f>'Sample Metadata'!D15</f>
        <v>0</v>
      </c>
      <c r="B29" s="57" t="str">
        <f>IF(ISNUMBER('qPCR Run Entry'!G30),'qPCR Run Entry'!G30,"")</f>
        <v/>
      </c>
      <c r="C29" s="57" t="str">
        <f>IF(ISNUMBER('qPCR Run Entry'!R30),'qPCR Run Entry'!R30,"")</f>
        <v/>
      </c>
      <c r="D29" s="57" t="str">
        <f>IF(ISNUMBER('qPCR Run Entry'!AC30),'qPCR Run Entry'!AC30,"")</f>
        <v/>
      </c>
      <c r="E29" s="69" t="s">
        <v>79</v>
      </c>
      <c r="F29" s="69"/>
      <c r="G29" s="69"/>
      <c r="H29" s="119" t="e">
        <f>IF(E29="X",10^((B29-'Standard Curve'!$B$20)/'Standard Curve'!$B$19),IF(F29="X",10^((C29-'Standard Curve'!$B$20)/'Standard Curve'!$B$19),IF(G29="X",10^((D29-'Standard Curve'!$B$20)/'Standard Curve'!$B$19),"")))</f>
        <v>#VALUE!</v>
      </c>
      <c r="I29" s="119" t="e">
        <f t="shared" ref="I29" si="74">AVERAGE(H29:H30)</f>
        <v>#VALUE!</v>
      </c>
      <c r="J29" s="119" t="e">
        <f t="shared" ref="J29" si="75">STDEV(H29:H30)</f>
        <v>#VALUE!</v>
      </c>
      <c r="K29" s="149" t="e">
        <f t="shared" ref="K29" si="76">AVERAGE(H29:H30)</f>
        <v>#VALUE!</v>
      </c>
      <c r="L29" s="149" t="e">
        <f t="shared" ref="L29" si="77">STDEV(H29:H30)</f>
        <v>#VALUE!</v>
      </c>
      <c r="M29" s="187" t="e">
        <f>L29/K29</f>
        <v>#VALUE!</v>
      </c>
      <c r="N29" s="189" t="e">
        <f t="shared" ref="N29" si="78">IF(M29&lt;40%, "Pass","Fail")</f>
        <v>#VALUE!</v>
      </c>
      <c r="O29" s="151" t="str">
        <f>IF(OR(B29 &lt;'Outlier Check'!$L$2, B30 &lt;'Outlier Check'!$L$2, C29 &lt;'Outlier Check'!$L$2, C30 &lt;'Outlier Check'!$L$2, D29 &lt;'Outlier Check'!$L$2, D30 &lt;'Outlier Check'!$L$2), "Fail", "Pass")</f>
        <v>Pass</v>
      </c>
      <c r="P29" s="151" t="e">
        <f>IF(AND(H29&gt;=45, H30&gt;=45), "Pass", "Fail")</f>
        <v>#VALUE!</v>
      </c>
      <c r="Q29" s="151" t="e">
        <f>IF(AND(H29&gt;=100, H30&gt;=100), "Pass", "Fail")</f>
        <v>#VALUE!</v>
      </c>
    </row>
    <row r="30" spans="1:17" x14ac:dyDescent="0.2">
      <c r="A30" s="186"/>
      <c r="B30" s="57" t="str">
        <f>IF(ISNUMBER('qPCR Run Entry'!G31),'qPCR Run Entry'!G31,"")</f>
        <v/>
      </c>
      <c r="C30" s="57" t="str">
        <f>IF(ISNUMBER('qPCR Run Entry'!R31),'qPCR Run Entry'!R31,"")</f>
        <v/>
      </c>
      <c r="D30" s="57" t="str">
        <f>IF(ISNUMBER('qPCR Run Entry'!AC31),'qPCR Run Entry'!AC31,"")</f>
        <v/>
      </c>
      <c r="E30" s="69" t="s">
        <v>79</v>
      </c>
      <c r="F30" s="69"/>
      <c r="G30" s="69"/>
      <c r="H30" s="119" t="e">
        <f>IF(E30="X",10^((B30-'Standard Curve'!$B$20)/'Standard Curve'!$B$19),IF(F30="X",10^((C30-'Standard Curve'!$B$20)/'Standard Curve'!$B$19),IF(G30="X",10^((D30-'Standard Curve'!$B$20)/'Standard Curve'!$B$19),"")))</f>
        <v>#VALUE!</v>
      </c>
      <c r="I30" s="119" t="e">
        <f t="shared" ref="I30" si="79">AVERAGE(H29:H30)</f>
        <v>#VALUE!</v>
      </c>
      <c r="J30" s="119" t="e">
        <f t="shared" ref="J30" si="80">STDEV(H29:H30)</f>
        <v>#VALUE!</v>
      </c>
      <c r="K30" s="149"/>
      <c r="L30" s="149"/>
      <c r="M30" s="187"/>
      <c r="N30" s="151"/>
      <c r="O30" s="151"/>
      <c r="P30" s="151"/>
      <c r="Q30" s="151"/>
    </row>
    <row r="31" spans="1:17" x14ac:dyDescent="0.2">
      <c r="A31" s="185">
        <f>'Sample Metadata'!D16</f>
        <v>0</v>
      </c>
      <c r="B31" s="57" t="str">
        <f>IF(ISNUMBER('qPCR Run Entry'!G32),'qPCR Run Entry'!G32,"")</f>
        <v/>
      </c>
      <c r="C31" s="57" t="str">
        <f>IF(ISNUMBER('qPCR Run Entry'!R32),'qPCR Run Entry'!R32,"")</f>
        <v/>
      </c>
      <c r="D31" s="57" t="str">
        <f>IF(ISNUMBER('qPCR Run Entry'!AC32),'qPCR Run Entry'!AC32,"")</f>
        <v/>
      </c>
      <c r="E31" s="69" t="s">
        <v>79</v>
      </c>
      <c r="F31" s="69"/>
      <c r="G31" s="69"/>
      <c r="H31" s="119" t="e">
        <f>IF(E31="X",10^((B31-'Standard Curve'!$B$20)/'Standard Curve'!$B$19),IF(F31="X",10^((C31-'Standard Curve'!$B$20)/'Standard Curve'!$B$19),IF(G31="X",10^((D31-'Standard Curve'!$B$20)/'Standard Curve'!$B$19),"")))</f>
        <v>#VALUE!</v>
      </c>
      <c r="I31" s="119" t="e">
        <f t="shared" ref="I31" si="81">AVERAGE(H31:H32)</f>
        <v>#VALUE!</v>
      </c>
      <c r="J31" s="119" t="e">
        <f t="shared" ref="J31" si="82">STDEV(H31:H32)</f>
        <v>#VALUE!</v>
      </c>
      <c r="K31" s="149" t="e">
        <f t="shared" ref="K31" si="83">AVERAGE(H31:H32)</f>
        <v>#VALUE!</v>
      </c>
      <c r="L31" s="149" t="e">
        <f t="shared" ref="L31" si="84">STDEV(H31:H32)</f>
        <v>#VALUE!</v>
      </c>
      <c r="M31" s="187" t="e">
        <f>L31/K31</f>
        <v>#VALUE!</v>
      </c>
      <c r="N31" s="189" t="e">
        <f t="shared" ref="N31" si="85">IF(M31&lt;40%, "Pass","Fail")</f>
        <v>#VALUE!</v>
      </c>
      <c r="O31" s="151" t="str">
        <f>IF(OR(B31 &lt;'Outlier Check'!$L$2, B32 &lt;'Outlier Check'!$L$2, C31 &lt;'Outlier Check'!$L$2, C32 &lt;'Outlier Check'!$L$2, D31 &lt;'Outlier Check'!$L$2, D32 &lt;'Outlier Check'!$L$2), "Fail", "Pass")</f>
        <v>Pass</v>
      </c>
      <c r="P31" s="151" t="e">
        <f>IF(AND(H31&gt;=45, H32&gt;=45), "Pass", "Fail")</f>
        <v>#VALUE!</v>
      </c>
      <c r="Q31" s="151" t="e">
        <f>IF(AND(H31&gt;=100, H32&gt;=100), "Pass", "Fail")</f>
        <v>#VALUE!</v>
      </c>
    </row>
    <row r="32" spans="1:17" x14ac:dyDescent="0.2">
      <c r="A32" s="186"/>
      <c r="B32" s="57" t="str">
        <f>IF(ISNUMBER('qPCR Run Entry'!G33),'qPCR Run Entry'!G33,"")</f>
        <v/>
      </c>
      <c r="C32" s="57" t="str">
        <f>IF(ISNUMBER('qPCR Run Entry'!R33),'qPCR Run Entry'!R33,"")</f>
        <v/>
      </c>
      <c r="D32" s="57" t="str">
        <f>IF(ISNUMBER('qPCR Run Entry'!AC33),'qPCR Run Entry'!AC33,"")</f>
        <v/>
      </c>
      <c r="E32" s="69" t="s">
        <v>79</v>
      </c>
      <c r="F32" s="69"/>
      <c r="G32" s="69"/>
      <c r="H32" s="119" t="e">
        <f>IF(E32="X",10^((B32-'Standard Curve'!$B$20)/'Standard Curve'!$B$19),IF(F32="X",10^((C32-'Standard Curve'!$B$20)/'Standard Curve'!$B$19),IF(G32="X",10^((D32-'Standard Curve'!$B$20)/'Standard Curve'!$B$19),"")))</f>
        <v>#VALUE!</v>
      </c>
      <c r="I32" s="119" t="e">
        <f t="shared" ref="I32" si="86">AVERAGE(H31:H32)</f>
        <v>#VALUE!</v>
      </c>
      <c r="J32" s="119" t="e">
        <f t="shared" ref="J32" si="87">STDEV(H31:H32)</f>
        <v>#VALUE!</v>
      </c>
      <c r="K32" s="149"/>
      <c r="L32" s="149"/>
      <c r="M32" s="187"/>
      <c r="N32" s="151"/>
      <c r="O32" s="151"/>
      <c r="P32" s="151"/>
      <c r="Q32" s="151"/>
    </row>
    <row r="33" spans="1:17" x14ac:dyDescent="0.2">
      <c r="A33" s="185">
        <f>'Sample Metadata'!D17</f>
        <v>0</v>
      </c>
      <c r="B33" s="57" t="str">
        <f>IF(ISNUMBER('qPCR Run Entry'!G34),'qPCR Run Entry'!G34,"")</f>
        <v/>
      </c>
      <c r="C33" s="57" t="str">
        <f>IF(ISNUMBER('qPCR Run Entry'!R34),'qPCR Run Entry'!R34,"")</f>
        <v/>
      </c>
      <c r="D33" s="57" t="str">
        <f>IF(ISNUMBER('qPCR Run Entry'!AC34),'qPCR Run Entry'!AC34,"")</f>
        <v/>
      </c>
      <c r="E33" s="69" t="s">
        <v>79</v>
      </c>
      <c r="F33" s="69"/>
      <c r="G33" s="69"/>
      <c r="H33" s="119" t="e">
        <f>IF(E33="X",10^((B33-'Standard Curve'!$B$20)/'Standard Curve'!$B$19),IF(F33="X",10^((C33-'Standard Curve'!$B$20)/'Standard Curve'!$B$19),IF(G33="X",10^((D33-'Standard Curve'!$B$20)/'Standard Curve'!$B$19),"")))</f>
        <v>#VALUE!</v>
      </c>
      <c r="I33" s="119" t="e">
        <f t="shared" ref="I33" si="88">AVERAGE(H33:H34)</f>
        <v>#VALUE!</v>
      </c>
      <c r="J33" s="119" t="e">
        <f t="shared" ref="J33" si="89">STDEV(H33:H34)</f>
        <v>#VALUE!</v>
      </c>
      <c r="K33" s="149" t="e">
        <f t="shared" ref="K33" si="90">AVERAGE(H33:H34)</f>
        <v>#VALUE!</v>
      </c>
      <c r="L33" s="149" t="e">
        <f t="shared" ref="L33" si="91">STDEV(H33:H34)</f>
        <v>#VALUE!</v>
      </c>
      <c r="M33" s="187" t="e">
        <f>L33/K33</f>
        <v>#VALUE!</v>
      </c>
      <c r="N33" s="189" t="e">
        <f t="shared" ref="N33" si="92">IF(M33&lt;40%, "Pass","Fail")</f>
        <v>#VALUE!</v>
      </c>
      <c r="O33" s="151" t="str">
        <f>IF(OR(B33 &lt;'Outlier Check'!$L$2, B34 &lt;'Outlier Check'!$L$2, C33 &lt;'Outlier Check'!$L$2, C34 &lt;'Outlier Check'!$L$2, D33 &lt;'Outlier Check'!$L$2, D34 &lt;'Outlier Check'!$L$2), "Fail", "Pass")</f>
        <v>Pass</v>
      </c>
      <c r="P33" s="151" t="e">
        <f>IF(AND(H33&gt;=45, H34&gt;=45), "Pass", "Fail")</f>
        <v>#VALUE!</v>
      </c>
      <c r="Q33" s="151" t="e">
        <f>IF(AND(H33&gt;=100, H34&gt;=100), "Pass", "Fail")</f>
        <v>#VALUE!</v>
      </c>
    </row>
    <row r="34" spans="1:17" x14ac:dyDescent="0.2">
      <c r="A34" s="186"/>
      <c r="B34" s="57" t="str">
        <f>IF(ISNUMBER('qPCR Run Entry'!G35),'qPCR Run Entry'!G35,"")</f>
        <v/>
      </c>
      <c r="C34" s="57" t="str">
        <f>IF(ISNUMBER('qPCR Run Entry'!R35),'qPCR Run Entry'!R35,"")</f>
        <v/>
      </c>
      <c r="D34" s="57" t="str">
        <f>IF(ISNUMBER('qPCR Run Entry'!AC35),'qPCR Run Entry'!AC35,"")</f>
        <v/>
      </c>
      <c r="E34" s="69" t="s">
        <v>79</v>
      </c>
      <c r="F34" s="69"/>
      <c r="G34" s="69"/>
      <c r="H34" s="119" t="e">
        <f>IF(E34="X",10^((B34-'Standard Curve'!$B$20)/'Standard Curve'!$B$19),IF(F34="X",10^((C34-'Standard Curve'!$B$20)/'Standard Curve'!$B$19),IF(G34="X",10^((D34-'Standard Curve'!$B$20)/'Standard Curve'!$B$19),"")))</f>
        <v>#VALUE!</v>
      </c>
      <c r="I34" s="119" t="e">
        <f t="shared" ref="I34" si="93">AVERAGE(H33:H34)</f>
        <v>#VALUE!</v>
      </c>
      <c r="J34" s="119" t="e">
        <f t="shared" ref="J34" si="94">STDEV(H33:H34)</f>
        <v>#VALUE!</v>
      </c>
      <c r="K34" s="149"/>
      <c r="L34" s="149"/>
      <c r="M34" s="187"/>
      <c r="N34" s="151"/>
      <c r="O34" s="151"/>
      <c r="P34" s="151"/>
      <c r="Q34" s="151"/>
    </row>
    <row r="35" spans="1:17" x14ac:dyDescent="0.2">
      <c r="A35" s="185">
        <f>'Sample Metadata'!D18</f>
        <v>0</v>
      </c>
      <c r="B35" s="57" t="str">
        <f>IF(ISNUMBER('qPCR Run Entry'!G36),'qPCR Run Entry'!G36,"")</f>
        <v/>
      </c>
      <c r="C35" s="57" t="str">
        <f>IF(ISNUMBER('qPCR Run Entry'!R36),'qPCR Run Entry'!R36,"")</f>
        <v/>
      </c>
      <c r="D35" s="57" t="str">
        <f>IF(ISNUMBER('qPCR Run Entry'!AC36),'qPCR Run Entry'!AC36,"")</f>
        <v/>
      </c>
      <c r="E35" s="69" t="s">
        <v>79</v>
      </c>
      <c r="F35" s="69"/>
      <c r="G35" s="69"/>
      <c r="H35" s="119" t="e">
        <f>IF(E35="X",10^((B35-'Standard Curve'!$B$20)/'Standard Curve'!$B$19),IF(F35="X",10^((C35-'Standard Curve'!$B$20)/'Standard Curve'!$B$19),IF(G35="X",10^((D35-'Standard Curve'!$B$20)/'Standard Curve'!$B$19),"")))</f>
        <v>#VALUE!</v>
      </c>
      <c r="I35" s="119" t="e">
        <f t="shared" ref="I35" si="95">AVERAGE(H35:H36)</f>
        <v>#VALUE!</v>
      </c>
      <c r="J35" s="119" t="e">
        <f t="shared" ref="J35" si="96">STDEV(H35:H36)</f>
        <v>#VALUE!</v>
      </c>
      <c r="K35" s="149" t="e">
        <f t="shared" ref="K35" si="97">AVERAGE(H35:H36)</f>
        <v>#VALUE!</v>
      </c>
      <c r="L35" s="149" t="e">
        <f t="shared" ref="L35" si="98">STDEV(H35:H36)</f>
        <v>#VALUE!</v>
      </c>
      <c r="M35" s="187" t="e">
        <f>L35/K35</f>
        <v>#VALUE!</v>
      </c>
      <c r="N35" s="189" t="e">
        <f t="shared" ref="N35" si="99">IF(M35&lt;40%, "Pass","Fail")</f>
        <v>#VALUE!</v>
      </c>
      <c r="O35" s="151" t="str">
        <f>IF(OR(B35 &lt;'Outlier Check'!$L$2, B36 &lt;'Outlier Check'!$L$2, C35 &lt;'Outlier Check'!$L$2, C36 &lt;'Outlier Check'!$L$2, D35 &lt;'Outlier Check'!$L$2, D36 &lt;'Outlier Check'!$L$2), "Fail", "Pass")</f>
        <v>Pass</v>
      </c>
      <c r="P35" s="151" t="e">
        <f>IF(AND(H35&gt;=45, H36&gt;=45), "Pass", "Fail")</f>
        <v>#VALUE!</v>
      </c>
      <c r="Q35" s="151" t="e">
        <f>IF(AND(H35&gt;=100, H36&gt;=100), "Pass", "Fail")</f>
        <v>#VALUE!</v>
      </c>
    </row>
    <row r="36" spans="1:17" x14ac:dyDescent="0.2">
      <c r="A36" s="186"/>
      <c r="B36" s="57" t="str">
        <f>IF(ISNUMBER('qPCR Run Entry'!G37),'qPCR Run Entry'!G37,"")</f>
        <v/>
      </c>
      <c r="C36" s="57" t="str">
        <f>IF(ISNUMBER('qPCR Run Entry'!R37),'qPCR Run Entry'!R37,"")</f>
        <v/>
      </c>
      <c r="D36" s="57" t="str">
        <f>IF(ISNUMBER('qPCR Run Entry'!AC37),'qPCR Run Entry'!AC37,"")</f>
        <v/>
      </c>
      <c r="E36" s="69" t="s">
        <v>79</v>
      </c>
      <c r="F36" s="69"/>
      <c r="G36" s="69"/>
      <c r="H36" s="119" t="e">
        <f>IF(E36="X",10^((B36-'Standard Curve'!$B$20)/'Standard Curve'!$B$19),IF(F36="X",10^((C36-'Standard Curve'!$B$20)/'Standard Curve'!$B$19),IF(G36="X",10^((D36-'Standard Curve'!$B$20)/'Standard Curve'!$B$19),"")))</f>
        <v>#VALUE!</v>
      </c>
      <c r="I36" s="119" t="e">
        <f t="shared" ref="I36" si="100">AVERAGE(H35:H36)</f>
        <v>#VALUE!</v>
      </c>
      <c r="J36" s="119" t="e">
        <f t="shared" ref="J36" si="101">STDEV(H35:H36)</f>
        <v>#VALUE!</v>
      </c>
      <c r="K36" s="149"/>
      <c r="L36" s="149"/>
      <c r="M36" s="187"/>
      <c r="N36" s="151"/>
      <c r="O36" s="151"/>
      <c r="P36" s="151"/>
      <c r="Q36" s="151"/>
    </row>
    <row r="37" spans="1:17" x14ac:dyDescent="0.2">
      <c r="A37" s="185">
        <f>'Sample Metadata'!D19</f>
        <v>0</v>
      </c>
      <c r="B37" s="57" t="str">
        <f>IF(ISNUMBER('qPCR Run Entry'!G38),'qPCR Run Entry'!G38,"")</f>
        <v/>
      </c>
      <c r="C37" s="57" t="str">
        <f>IF(ISNUMBER('qPCR Run Entry'!R38),'qPCR Run Entry'!R38,"")</f>
        <v/>
      </c>
      <c r="D37" s="57" t="str">
        <f>IF(ISNUMBER('qPCR Run Entry'!AC38),'qPCR Run Entry'!AC38,"")</f>
        <v/>
      </c>
      <c r="E37" s="69" t="s">
        <v>79</v>
      </c>
      <c r="F37" s="69"/>
      <c r="G37" s="69"/>
      <c r="H37" s="119" t="e">
        <f>IF(E37="X",10^((B37-'Standard Curve'!$B$20)/'Standard Curve'!$B$19),IF(F37="X",10^((C37-'Standard Curve'!$B$20)/'Standard Curve'!$B$19),IF(G37="X",10^((D37-'Standard Curve'!$B$20)/'Standard Curve'!$B$19),"")))</f>
        <v>#VALUE!</v>
      </c>
      <c r="I37" s="119" t="e">
        <f t="shared" ref="I37" si="102">AVERAGE(H37:H38)</f>
        <v>#VALUE!</v>
      </c>
      <c r="J37" s="119" t="e">
        <f t="shared" ref="J37" si="103">STDEV(H37:H38)</f>
        <v>#VALUE!</v>
      </c>
      <c r="K37" s="149" t="e">
        <f t="shared" ref="K37" si="104">AVERAGE(H37:H38)</f>
        <v>#VALUE!</v>
      </c>
      <c r="L37" s="149" t="e">
        <f t="shared" ref="L37" si="105">STDEV(H37:H38)</f>
        <v>#VALUE!</v>
      </c>
      <c r="M37" s="187" t="e">
        <f>L37/K37</f>
        <v>#VALUE!</v>
      </c>
      <c r="N37" s="189" t="e">
        <f t="shared" ref="N37" si="106">IF(M37&lt;40%, "Pass","Fail")</f>
        <v>#VALUE!</v>
      </c>
      <c r="O37" s="151" t="str">
        <f>IF(OR(B37 &lt;'Outlier Check'!$L$2, B38 &lt;'Outlier Check'!$L$2, C37 &lt;'Outlier Check'!$L$2, C38 &lt;'Outlier Check'!$L$2, D37 &lt;'Outlier Check'!$L$2, D38 &lt;'Outlier Check'!$L$2), "Fail", "Pass")</f>
        <v>Pass</v>
      </c>
      <c r="P37" s="151" t="e">
        <f>IF(AND(H37&gt;=45, H38&gt;=45), "Pass", "Fail")</f>
        <v>#VALUE!</v>
      </c>
      <c r="Q37" s="151" t="e">
        <f>IF(AND(H37&gt;=100, H38&gt;=100), "Pass", "Fail")</f>
        <v>#VALUE!</v>
      </c>
    </row>
    <row r="38" spans="1:17" x14ac:dyDescent="0.2">
      <c r="A38" s="186"/>
      <c r="B38" s="57" t="str">
        <f>IF(ISNUMBER('qPCR Run Entry'!G39),'qPCR Run Entry'!G39,"")</f>
        <v/>
      </c>
      <c r="C38" s="57" t="str">
        <f>IF(ISNUMBER('qPCR Run Entry'!R39),'qPCR Run Entry'!R39,"")</f>
        <v/>
      </c>
      <c r="D38" s="57" t="str">
        <f>IF(ISNUMBER('qPCR Run Entry'!AC39),'qPCR Run Entry'!AC39,"")</f>
        <v/>
      </c>
      <c r="E38" s="69" t="s">
        <v>79</v>
      </c>
      <c r="F38" s="69"/>
      <c r="G38" s="69"/>
      <c r="H38" s="119" t="e">
        <f>IF(E38="X",10^((B38-'Standard Curve'!$B$20)/'Standard Curve'!$B$19),IF(F38="X",10^((C38-'Standard Curve'!$B$20)/'Standard Curve'!$B$19),IF(G38="X",10^((D38-'Standard Curve'!$B$20)/'Standard Curve'!$B$19),"")))</f>
        <v>#VALUE!</v>
      </c>
      <c r="I38" s="119" t="e">
        <f t="shared" ref="I38" si="107">AVERAGE(H37:H38)</f>
        <v>#VALUE!</v>
      </c>
      <c r="J38" s="119" t="e">
        <f t="shared" ref="J38" si="108">STDEV(H37:H38)</f>
        <v>#VALUE!</v>
      </c>
      <c r="K38" s="149"/>
      <c r="L38" s="149"/>
      <c r="M38" s="187"/>
      <c r="N38" s="151"/>
      <c r="O38" s="151"/>
      <c r="P38" s="151"/>
      <c r="Q38" s="151"/>
    </row>
    <row r="39" spans="1:17" x14ac:dyDescent="0.2">
      <c r="A39" s="185">
        <f>'Sample Metadata'!D20</f>
        <v>0</v>
      </c>
      <c r="B39" s="57" t="str">
        <f>IF(ISNUMBER('qPCR Run Entry'!G40),'qPCR Run Entry'!G40,"")</f>
        <v/>
      </c>
      <c r="C39" s="57" t="str">
        <f>IF(ISNUMBER('qPCR Run Entry'!R40),'qPCR Run Entry'!R40,"")</f>
        <v/>
      </c>
      <c r="D39" s="57" t="str">
        <f>IF(ISNUMBER('qPCR Run Entry'!AC40),'qPCR Run Entry'!AC40,"")</f>
        <v/>
      </c>
      <c r="E39" s="69" t="s">
        <v>79</v>
      </c>
      <c r="F39" s="69"/>
      <c r="G39" s="69"/>
      <c r="H39" s="119" t="e">
        <f>IF(E39="X",10^((B39-'Standard Curve'!$B$20)/'Standard Curve'!$B$19),IF(F39="X",10^((C39-'Standard Curve'!$B$20)/'Standard Curve'!$B$19),IF(G39="X",10^((D39-'Standard Curve'!$B$20)/'Standard Curve'!$B$19),"")))</f>
        <v>#VALUE!</v>
      </c>
      <c r="I39" s="119" t="e">
        <f t="shared" ref="I39" si="109">AVERAGE(H39:H40)</f>
        <v>#VALUE!</v>
      </c>
      <c r="J39" s="119" t="e">
        <f t="shared" ref="J39" si="110">STDEV(H39:H40)</f>
        <v>#VALUE!</v>
      </c>
      <c r="K39" s="149" t="e">
        <f t="shared" ref="K39" si="111">AVERAGE(H39:H40)</f>
        <v>#VALUE!</v>
      </c>
      <c r="L39" s="149" t="e">
        <f t="shared" ref="L39" si="112">STDEV(H39:H40)</f>
        <v>#VALUE!</v>
      </c>
      <c r="M39" s="187" t="e">
        <f>L39/K39</f>
        <v>#VALUE!</v>
      </c>
      <c r="N39" s="189" t="e">
        <f t="shared" ref="N39" si="113">IF(M39&lt;40%, "Pass","Fail")</f>
        <v>#VALUE!</v>
      </c>
      <c r="O39" s="151" t="str">
        <f>IF(OR(B39 &lt;'Outlier Check'!$L$2, B40 &lt;'Outlier Check'!$L$2, C39 &lt;'Outlier Check'!$L$2, C40 &lt;'Outlier Check'!$L$2, D39 &lt;'Outlier Check'!$L$2, D40 &lt;'Outlier Check'!$L$2), "Fail", "Pass")</f>
        <v>Pass</v>
      </c>
      <c r="P39" s="151" t="e">
        <f>IF(AND(H39&gt;=45, H40&gt;=45), "Pass", "Fail")</f>
        <v>#VALUE!</v>
      </c>
      <c r="Q39" s="151" t="e">
        <f>IF(AND(H39&gt;=100, H40&gt;=100), "Pass", "Fail")</f>
        <v>#VALUE!</v>
      </c>
    </row>
    <row r="40" spans="1:17" x14ac:dyDescent="0.2">
      <c r="A40" s="186"/>
      <c r="B40" s="57" t="str">
        <f>IF(ISNUMBER('qPCR Run Entry'!G41),'qPCR Run Entry'!G41,"")</f>
        <v/>
      </c>
      <c r="C40" s="57" t="str">
        <f>IF(ISNUMBER('qPCR Run Entry'!R41),'qPCR Run Entry'!R41,"")</f>
        <v/>
      </c>
      <c r="D40" s="57" t="str">
        <f>IF(ISNUMBER('qPCR Run Entry'!AC41),'qPCR Run Entry'!AC41,"")</f>
        <v/>
      </c>
      <c r="E40" s="69" t="s">
        <v>79</v>
      </c>
      <c r="F40" s="69"/>
      <c r="G40" s="69"/>
      <c r="H40" s="119" t="e">
        <f>IF(E40="X",10^((B40-'Standard Curve'!$B$20)/'Standard Curve'!$B$19),IF(F40="X",10^((C40-'Standard Curve'!$B$20)/'Standard Curve'!$B$19),IF(G40="X",10^((D40-'Standard Curve'!$B$20)/'Standard Curve'!$B$19),"")))</f>
        <v>#VALUE!</v>
      </c>
      <c r="I40" s="119" t="e">
        <f t="shared" ref="I40" si="114">AVERAGE(H39:H40)</f>
        <v>#VALUE!</v>
      </c>
      <c r="J40" s="119" t="e">
        <f t="shared" ref="J40" si="115">STDEV(H39:H40)</f>
        <v>#VALUE!</v>
      </c>
      <c r="K40" s="149"/>
      <c r="L40" s="149"/>
      <c r="M40" s="187"/>
      <c r="N40" s="151"/>
      <c r="O40" s="151"/>
      <c r="P40" s="151"/>
      <c r="Q40" s="151"/>
    </row>
    <row r="41" spans="1:17" x14ac:dyDescent="0.2">
      <c r="A41" s="185">
        <f>'Sample Metadata'!D21</f>
        <v>0</v>
      </c>
      <c r="B41" s="57" t="str">
        <f>IF(ISNUMBER('qPCR Run Entry'!G42),'qPCR Run Entry'!G42,"")</f>
        <v/>
      </c>
      <c r="C41" s="57" t="str">
        <f>IF(ISNUMBER('qPCR Run Entry'!R42),'qPCR Run Entry'!R42,"")</f>
        <v/>
      </c>
      <c r="D41" s="57" t="str">
        <f>IF(ISNUMBER('qPCR Run Entry'!AC42),'qPCR Run Entry'!AC42,"")</f>
        <v/>
      </c>
      <c r="E41" s="69" t="s">
        <v>79</v>
      </c>
      <c r="F41" s="69"/>
      <c r="G41" s="69"/>
      <c r="H41" s="119" t="e">
        <f>IF(E41="X",10^((B41-'Standard Curve'!$B$20)/'Standard Curve'!$B$19),IF(F41="X",10^((C41-'Standard Curve'!$B$20)/'Standard Curve'!$B$19),IF(G41="X",10^((D41-'Standard Curve'!$B$20)/'Standard Curve'!$B$19),"")))</f>
        <v>#VALUE!</v>
      </c>
      <c r="I41" s="119" t="e">
        <f t="shared" ref="I41" si="116">AVERAGE(H41:H42)</f>
        <v>#VALUE!</v>
      </c>
      <c r="J41" s="119" t="e">
        <f t="shared" ref="J41" si="117">STDEV(H41:H42)</f>
        <v>#VALUE!</v>
      </c>
      <c r="K41" s="149" t="e">
        <f t="shared" ref="K41" si="118">AVERAGE(H41:H42)</f>
        <v>#VALUE!</v>
      </c>
      <c r="L41" s="149" t="e">
        <f t="shared" ref="L41" si="119">STDEV(H41:H42)</f>
        <v>#VALUE!</v>
      </c>
      <c r="M41" s="187" t="e">
        <f>L41/K41</f>
        <v>#VALUE!</v>
      </c>
      <c r="N41" s="189" t="e">
        <f t="shared" ref="N41" si="120">IF(M41&lt;40%, "Pass","Fail")</f>
        <v>#VALUE!</v>
      </c>
      <c r="O41" s="151" t="str">
        <f>IF(OR(B41 &lt;'Outlier Check'!$L$2, B42 &lt;'Outlier Check'!$L$2, C41 &lt;'Outlier Check'!$L$2, C42 &lt;'Outlier Check'!$L$2, D41 &lt;'Outlier Check'!$L$2, D42 &lt;'Outlier Check'!$L$2), "Fail", "Pass")</f>
        <v>Pass</v>
      </c>
      <c r="P41" s="151" t="e">
        <f>IF(AND(H41&gt;=45, H42&gt;=45), "Pass", "Fail")</f>
        <v>#VALUE!</v>
      </c>
      <c r="Q41" s="151" t="e">
        <f>IF(AND(H41&gt;=100, H42&gt;=100), "Pass", "Fail")</f>
        <v>#VALUE!</v>
      </c>
    </row>
    <row r="42" spans="1:17" x14ac:dyDescent="0.2">
      <c r="A42" s="186"/>
      <c r="B42" s="57" t="str">
        <f>IF(ISNUMBER('qPCR Run Entry'!G43),'qPCR Run Entry'!G43,"")</f>
        <v/>
      </c>
      <c r="C42" s="57" t="str">
        <f>IF(ISNUMBER('qPCR Run Entry'!R43),'qPCR Run Entry'!R43,"")</f>
        <v/>
      </c>
      <c r="D42" s="57" t="str">
        <f>IF(ISNUMBER('qPCR Run Entry'!AC43),'qPCR Run Entry'!AC43,"")</f>
        <v/>
      </c>
      <c r="E42" s="69" t="s">
        <v>79</v>
      </c>
      <c r="F42" s="69"/>
      <c r="G42" s="69"/>
      <c r="H42" s="119" t="e">
        <f>IF(E42="X",10^((B42-'Standard Curve'!$B$20)/'Standard Curve'!$B$19),IF(F42="X",10^((C42-'Standard Curve'!$B$20)/'Standard Curve'!$B$19),IF(G42="X",10^((D42-'Standard Curve'!$B$20)/'Standard Curve'!$B$19),"")))</f>
        <v>#VALUE!</v>
      </c>
      <c r="I42" s="119" t="e">
        <f t="shared" ref="I42" si="121">AVERAGE(H41:H42)</f>
        <v>#VALUE!</v>
      </c>
      <c r="J42" s="119" t="e">
        <f t="shared" ref="J42" si="122">STDEV(H41:H42)</f>
        <v>#VALUE!</v>
      </c>
      <c r="K42" s="149"/>
      <c r="L42" s="149"/>
      <c r="M42" s="187"/>
      <c r="N42" s="151"/>
      <c r="O42" s="151"/>
      <c r="P42" s="151"/>
      <c r="Q42" s="151"/>
    </row>
    <row r="43" spans="1:17" x14ac:dyDescent="0.2">
      <c r="A43" s="185">
        <f>'Sample Metadata'!D22</f>
        <v>0</v>
      </c>
      <c r="B43" s="57" t="str">
        <f>IF(ISNUMBER('qPCR Run Entry'!G44),'qPCR Run Entry'!G44,"")</f>
        <v/>
      </c>
      <c r="C43" s="57" t="str">
        <f>IF(ISNUMBER('qPCR Run Entry'!R44),'qPCR Run Entry'!R44,"")</f>
        <v/>
      </c>
      <c r="D43" s="57" t="str">
        <f>IF(ISNUMBER('qPCR Run Entry'!AC44),'qPCR Run Entry'!AC44,"")</f>
        <v/>
      </c>
      <c r="E43" s="69" t="s">
        <v>79</v>
      </c>
      <c r="F43" s="69"/>
      <c r="G43" s="69"/>
      <c r="H43" s="119" t="e">
        <f>IF(E43="X",10^((B43-'Standard Curve'!$B$20)/'Standard Curve'!$B$19),IF(F43="X",10^((C43-'Standard Curve'!$B$20)/'Standard Curve'!$B$19),IF(G43="X",10^((D43-'Standard Curve'!$B$20)/'Standard Curve'!$B$19),"")))</f>
        <v>#VALUE!</v>
      </c>
      <c r="I43" s="119" t="e">
        <f t="shared" ref="I43" si="123">AVERAGE(H43:H44)</f>
        <v>#VALUE!</v>
      </c>
      <c r="J43" s="119" t="e">
        <f t="shared" ref="J43" si="124">STDEV(H43:H44)</f>
        <v>#VALUE!</v>
      </c>
      <c r="K43" s="149" t="e">
        <f t="shared" ref="K43" si="125">AVERAGE(H43:H44)</f>
        <v>#VALUE!</v>
      </c>
      <c r="L43" s="149" t="e">
        <f t="shared" ref="L43" si="126">STDEV(H43:H44)</f>
        <v>#VALUE!</v>
      </c>
      <c r="M43" s="187" t="e">
        <f>L43/K43</f>
        <v>#VALUE!</v>
      </c>
      <c r="N43" s="189" t="e">
        <f t="shared" ref="N43" si="127">IF(M43&lt;40%, "Pass","Fail")</f>
        <v>#VALUE!</v>
      </c>
      <c r="O43" s="151" t="str">
        <f>IF(OR(B43 &lt;'Outlier Check'!$L$2, B44 &lt;'Outlier Check'!$L$2, C43 &lt;'Outlier Check'!$L$2, C44 &lt;'Outlier Check'!$L$2, D43 &lt;'Outlier Check'!$L$2, D44 &lt;'Outlier Check'!$L$2), "Fail", "Pass")</f>
        <v>Pass</v>
      </c>
      <c r="P43" s="151" t="e">
        <f>IF(AND(H43&gt;=45, H44&gt;=45), "Pass", "Fail")</f>
        <v>#VALUE!</v>
      </c>
      <c r="Q43" s="151" t="e">
        <f>IF(AND(H43&gt;=100, H44&gt;=100), "Pass", "Fail")</f>
        <v>#VALUE!</v>
      </c>
    </row>
    <row r="44" spans="1:17" x14ac:dyDescent="0.2">
      <c r="A44" s="186"/>
      <c r="B44" s="57" t="str">
        <f>IF(ISNUMBER('qPCR Run Entry'!G45),'qPCR Run Entry'!G45,"")</f>
        <v/>
      </c>
      <c r="C44" s="57" t="str">
        <f>IF(ISNUMBER('qPCR Run Entry'!R45),'qPCR Run Entry'!R45,"")</f>
        <v/>
      </c>
      <c r="D44" s="57" t="str">
        <f>IF(ISNUMBER('qPCR Run Entry'!AC45),'qPCR Run Entry'!AC45,"")</f>
        <v/>
      </c>
      <c r="E44" s="69" t="s">
        <v>79</v>
      </c>
      <c r="F44" s="69"/>
      <c r="G44" s="69"/>
      <c r="H44" s="119" t="e">
        <f>IF(E44="X",10^((B44-'Standard Curve'!$B$20)/'Standard Curve'!$B$19),IF(F44="X",10^((C44-'Standard Curve'!$B$20)/'Standard Curve'!$B$19),IF(G44="X",10^((D44-'Standard Curve'!$B$20)/'Standard Curve'!$B$19),"")))</f>
        <v>#VALUE!</v>
      </c>
      <c r="I44" s="119" t="e">
        <f t="shared" ref="I44" si="128">AVERAGE(H43:H44)</f>
        <v>#VALUE!</v>
      </c>
      <c r="J44" s="119" t="e">
        <f t="shared" ref="J44" si="129">STDEV(H43:H44)</f>
        <v>#VALUE!</v>
      </c>
      <c r="K44" s="149"/>
      <c r="L44" s="149"/>
      <c r="M44" s="187"/>
      <c r="N44" s="151"/>
      <c r="O44" s="151"/>
      <c r="P44" s="151"/>
      <c r="Q44" s="151"/>
    </row>
    <row r="45" spans="1:17" x14ac:dyDescent="0.2">
      <c r="A45" s="185">
        <f>'Sample Metadata'!D23</f>
        <v>0</v>
      </c>
      <c r="B45" s="57" t="str">
        <f>IF(ISNUMBER('qPCR Run Entry'!G46),'qPCR Run Entry'!G46,"")</f>
        <v/>
      </c>
      <c r="C45" s="57" t="str">
        <f>IF(ISNUMBER('qPCR Run Entry'!R46),'qPCR Run Entry'!R46,"")</f>
        <v/>
      </c>
      <c r="D45" s="57" t="str">
        <f>IF(ISNUMBER('qPCR Run Entry'!AC46),'qPCR Run Entry'!AC46,"")</f>
        <v/>
      </c>
      <c r="E45" s="69" t="s">
        <v>79</v>
      </c>
      <c r="F45" s="69"/>
      <c r="G45" s="69"/>
      <c r="H45" s="119" t="e">
        <f>IF(E45="X",10^((B45-'Standard Curve'!$B$20)/'Standard Curve'!$B$19),IF(F45="X",10^((C45-'Standard Curve'!$B$20)/'Standard Curve'!$B$19),IF(G45="X",10^((D45-'Standard Curve'!$B$20)/'Standard Curve'!$B$19),"")))</f>
        <v>#VALUE!</v>
      </c>
      <c r="I45" s="119" t="e">
        <f t="shared" ref="I45" si="130">AVERAGE(H45:H46)</f>
        <v>#VALUE!</v>
      </c>
      <c r="J45" s="119" t="e">
        <f t="shared" ref="J45" si="131">STDEV(H45:H46)</f>
        <v>#VALUE!</v>
      </c>
      <c r="K45" s="149" t="e">
        <f t="shared" ref="K45" si="132">AVERAGE(H45:H46)</f>
        <v>#VALUE!</v>
      </c>
      <c r="L45" s="149" t="e">
        <f t="shared" ref="L45" si="133">STDEV(H45:H46)</f>
        <v>#VALUE!</v>
      </c>
      <c r="M45" s="187" t="e">
        <f>L45/K45</f>
        <v>#VALUE!</v>
      </c>
      <c r="N45" s="189" t="e">
        <f t="shared" ref="N45" si="134">IF(M45&lt;40%, "Pass","Fail")</f>
        <v>#VALUE!</v>
      </c>
      <c r="O45" s="151" t="str">
        <f>IF(OR(B45 &lt;'Outlier Check'!$L$2, B46 &lt;'Outlier Check'!$L$2, C45 &lt;'Outlier Check'!$L$2, C46 &lt;'Outlier Check'!$L$2, D45 &lt;'Outlier Check'!$L$2, D46 &lt;'Outlier Check'!$L$2), "Fail", "Pass")</f>
        <v>Pass</v>
      </c>
      <c r="P45" s="151" t="e">
        <f>IF(AND(H45&gt;=45, H46&gt;=45), "Pass", "Fail")</f>
        <v>#VALUE!</v>
      </c>
      <c r="Q45" s="151" t="e">
        <f>IF(AND(H45&gt;=100, H46&gt;=100), "Pass", "Fail")</f>
        <v>#VALUE!</v>
      </c>
    </row>
    <row r="46" spans="1:17" x14ac:dyDescent="0.2">
      <c r="A46" s="186"/>
      <c r="B46" s="57" t="str">
        <f>IF(ISNUMBER('qPCR Run Entry'!G47),'qPCR Run Entry'!G47,"")</f>
        <v/>
      </c>
      <c r="C46" s="57" t="str">
        <f>IF(ISNUMBER('qPCR Run Entry'!R47),'qPCR Run Entry'!R47,"")</f>
        <v/>
      </c>
      <c r="D46" s="57" t="str">
        <f>IF(ISNUMBER('qPCR Run Entry'!AC47),'qPCR Run Entry'!AC47,"")</f>
        <v/>
      </c>
      <c r="E46" s="69" t="s">
        <v>79</v>
      </c>
      <c r="F46" s="69"/>
      <c r="G46" s="69"/>
      <c r="H46" s="119" t="e">
        <f>IF(E46="X",10^((B46-'Standard Curve'!$B$20)/'Standard Curve'!$B$19),IF(F46="X",10^((C46-'Standard Curve'!$B$20)/'Standard Curve'!$B$19),IF(G46="X",10^((D46-'Standard Curve'!$B$20)/'Standard Curve'!$B$19),"")))</f>
        <v>#VALUE!</v>
      </c>
      <c r="I46" s="119" t="e">
        <f t="shared" ref="I46" si="135">AVERAGE(H45:H46)</f>
        <v>#VALUE!</v>
      </c>
      <c r="J46" s="119" t="e">
        <f t="shared" ref="J46" si="136">STDEV(H45:H46)</f>
        <v>#VALUE!</v>
      </c>
      <c r="K46" s="149"/>
      <c r="L46" s="149"/>
      <c r="M46" s="187"/>
      <c r="N46" s="151"/>
      <c r="O46" s="151"/>
      <c r="P46" s="151"/>
      <c r="Q46" s="151"/>
    </row>
    <row r="47" spans="1:17" x14ac:dyDescent="0.2">
      <c r="A47" s="185">
        <f>'Sample Metadata'!D24</f>
        <v>0</v>
      </c>
      <c r="B47" s="57" t="str">
        <f>IF(ISNUMBER('qPCR Run Entry'!G48),'qPCR Run Entry'!G48,"")</f>
        <v/>
      </c>
      <c r="C47" s="57" t="str">
        <f>IF(ISNUMBER('qPCR Run Entry'!R48),'qPCR Run Entry'!R48,"")</f>
        <v/>
      </c>
      <c r="D47" s="57" t="str">
        <f>IF(ISNUMBER('qPCR Run Entry'!AC48),'qPCR Run Entry'!AC48,"")</f>
        <v/>
      </c>
      <c r="E47" s="69" t="s">
        <v>79</v>
      </c>
      <c r="F47" s="69"/>
      <c r="G47" s="69"/>
      <c r="H47" s="119" t="e">
        <f>IF(E47="X",10^((B47-'Standard Curve'!$B$20)/'Standard Curve'!$B$19),IF(F47="X",10^((C47-'Standard Curve'!$B$20)/'Standard Curve'!$B$19),IF(G47="X",10^((D47-'Standard Curve'!$B$20)/'Standard Curve'!$B$19),"")))</f>
        <v>#VALUE!</v>
      </c>
      <c r="I47" s="119" t="e">
        <f t="shared" ref="I47" si="137">AVERAGE(H47:H48)</f>
        <v>#VALUE!</v>
      </c>
      <c r="J47" s="119" t="e">
        <f t="shared" ref="J47" si="138">STDEV(H47:H48)</f>
        <v>#VALUE!</v>
      </c>
      <c r="K47" s="149" t="e">
        <f t="shared" ref="K47" si="139">AVERAGE(H47:H48)</f>
        <v>#VALUE!</v>
      </c>
      <c r="L47" s="149" t="e">
        <f t="shared" ref="L47" si="140">STDEV(H47:H48)</f>
        <v>#VALUE!</v>
      </c>
      <c r="M47" s="187" t="e">
        <f>L47/K47</f>
        <v>#VALUE!</v>
      </c>
      <c r="N47" s="189" t="e">
        <f t="shared" ref="N47" si="141">IF(M47&lt;40%, "Pass","Fail")</f>
        <v>#VALUE!</v>
      </c>
      <c r="O47" s="151" t="str">
        <f>IF(OR(B47 &lt;'Outlier Check'!$L$2, B48 &lt;'Outlier Check'!$L$2, C47 &lt;'Outlier Check'!$L$2, C48 &lt;'Outlier Check'!$L$2, D47 &lt;'Outlier Check'!$L$2, D48 &lt;'Outlier Check'!$L$2), "Fail", "Pass")</f>
        <v>Pass</v>
      </c>
      <c r="P47" s="151" t="e">
        <f>IF(AND(H47&gt;=45, H48&gt;=45), "Pass", "Fail")</f>
        <v>#VALUE!</v>
      </c>
      <c r="Q47" s="151" t="e">
        <f>IF(AND(H47&gt;=100, H48&gt;=100), "Pass", "Fail")</f>
        <v>#VALUE!</v>
      </c>
    </row>
    <row r="48" spans="1:17" x14ac:dyDescent="0.2">
      <c r="A48" s="186"/>
      <c r="B48" s="57" t="str">
        <f>IF(ISNUMBER('qPCR Run Entry'!G49),'qPCR Run Entry'!G49,"")</f>
        <v/>
      </c>
      <c r="C48" s="57" t="str">
        <f>IF(ISNUMBER('qPCR Run Entry'!R49),'qPCR Run Entry'!R49,"")</f>
        <v/>
      </c>
      <c r="D48" s="57" t="str">
        <f>IF(ISNUMBER('qPCR Run Entry'!AC49),'qPCR Run Entry'!AC49,"")</f>
        <v/>
      </c>
      <c r="E48" s="69" t="s">
        <v>79</v>
      </c>
      <c r="F48" s="69"/>
      <c r="G48" s="69"/>
      <c r="H48" s="119" t="e">
        <f>IF(E48="X",10^((B48-'Standard Curve'!$B$20)/'Standard Curve'!$B$19),IF(F48="X",10^((C48-'Standard Curve'!$B$20)/'Standard Curve'!$B$19),IF(G48="X",10^((D48-'Standard Curve'!$B$20)/'Standard Curve'!$B$19),"")))</f>
        <v>#VALUE!</v>
      </c>
      <c r="I48" s="119" t="e">
        <f t="shared" ref="I48" si="142">AVERAGE(H47:H48)</f>
        <v>#VALUE!</v>
      </c>
      <c r="J48" s="119" t="e">
        <f t="shared" ref="J48" si="143">STDEV(H47:H48)</f>
        <v>#VALUE!</v>
      </c>
      <c r="K48" s="149"/>
      <c r="L48" s="149"/>
      <c r="M48" s="187"/>
      <c r="N48" s="151"/>
      <c r="O48" s="151"/>
      <c r="P48" s="151"/>
      <c r="Q48" s="151"/>
    </row>
    <row r="49" spans="1:17" x14ac:dyDescent="0.2">
      <c r="A49" s="185">
        <f>'Sample Metadata'!D25</f>
        <v>0</v>
      </c>
      <c r="B49" s="57" t="str">
        <f>IF(ISNUMBER('qPCR Run Entry'!G50),'qPCR Run Entry'!G50,"")</f>
        <v/>
      </c>
      <c r="C49" s="57" t="str">
        <f>IF(ISNUMBER('qPCR Run Entry'!R50),'qPCR Run Entry'!R50,"")</f>
        <v/>
      </c>
      <c r="D49" s="57" t="str">
        <f>IF(ISNUMBER('qPCR Run Entry'!AC50),'qPCR Run Entry'!AC50,"")</f>
        <v/>
      </c>
      <c r="E49" s="69" t="s">
        <v>79</v>
      </c>
      <c r="F49" s="69"/>
      <c r="G49" s="69"/>
      <c r="H49" s="119" t="e">
        <f>IF(E49="X",10^((B49-'Standard Curve'!$B$20)/'Standard Curve'!$B$19),IF(F49="X",10^((C49-'Standard Curve'!$B$20)/'Standard Curve'!$B$19),IF(G49="X",10^((D49-'Standard Curve'!$B$20)/'Standard Curve'!$B$19),"")))</f>
        <v>#VALUE!</v>
      </c>
      <c r="I49" s="119" t="e">
        <f t="shared" ref="I49" si="144">AVERAGE(H49:H50)</f>
        <v>#VALUE!</v>
      </c>
      <c r="J49" s="119" t="e">
        <f t="shared" ref="J49" si="145">STDEV(H49:H50)</f>
        <v>#VALUE!</v>
      </c>
      <c r="K49" s="149" t="e">
        <f t="shared" ref="K49" si="146">AVERAGE(H49:H50)</f>
        <v>#VALUE!</v>
      </c>
      <c r="L49" s="149" t="e">
        <f t="shared" ref="L49" si="147">STDEV(H49:H50)</f>
        <v>#VALUE!</v>
      </c>
      <c r="M49" s="187" t="e">
        <f>L49/K49</f>
        <v>#VALUE!</v>
      </c>
      <c r="N49" s="189" t="e">
        <f t="shared" ref="N49" si="148">IF(M49&lt;40%, "Pass","Fail")</f>
        <v>#VALUE!</v>
      </c>
      <c r="O49" s="151" t="str">
        <f>IF(OR(B49 &lt;'Outlier Check'!$L$2, B50 &lt;'Outlier Check'!$L$2, C49 &lt;'Outlier Check'!$L$2, C50 &lt;'Outlier Check'!$L$2, D49 &lt;'Outlier Check'!$L$2, D50 &lt;'Outlier Check'!$L$2), "Fail", "Pass")</f>
        <v>Pass</v>
      </c>
      <c r="P49" s="151" t="e">
        <f>IF(AND(H49&gt;=45, H50&gt;=45), "Pass", "Fail")</f>
        <v>#VALUE!</v>
      </c>
      <c r="Q49" s="151" t="e">
        <f>IF(AND(H49&gt;=100, H50&gt;=100), "Pass", "Fail")</f>
        <v>#VALUE!</v>
      </c>
    </row>
    <row r="50" spans="1:17" x14ac:dyDescent="0.2">
      <c r="A50" s="186"/>
      <c r="B50" s="57" t="str">
        <f>IF(ISNUMBER('qPCR Run Entry'!G51),'qPCR Run Entry'!G51,"")</f>
        <v/>
      </c>
      <c r="C50" s="57" t="str">
        <f>IF(ISNUMBER('qPCR Run Entry'!R51),'qPCR Run Entry'!R51,"")</f>
        <v/>
      </c>
      <c r="D50" s="57" t="str">
        <f>IF(ISNUMBER('qPCR Run Entry'!AC51),'qPCR Run Entry'!AC51,"")</f>
        <v/>
      </c>
      <c r="E50" s="69" t="s">
        <v>79</v>
      </c>
      <c r="F50" s="69"/>
      <c r="G50" s="69"/>
      <c r="H50" s="119" t="e">
        <f>IF(E50="X",10^((B50-'Standard Curve'!$B$20)/'Standard Curve'!$B$19),IF(F50="X",10^((C50-'Standard Curve'!$B$20)/'Standard Curve'!$B$19),IF(G50="X",10^((D50-'Standard Curve'!$B$20)/'Standard Curve'!$B$19),"")))</f>
        <v>#VALUE!</v>
      </c>
      <c r="I50" s="119" t="e">
        <f t="shared" ref="I50" si="149">AVERAGE(H49:H50)</f>
        <v>#VALUE!</v>
      </c>
      <c r="J50" s="119" t="e">
        <f t="shared" ref="J50" si="150">STDEV(H49:H50)</f>
        <v>#VALUE!</v>
      </c>
      <c r="K50" s="149"/>
      <c r="L50" s="149"/>
      <c r="M50" s="187"/>
      <c r="N50" s="151"/>
      <c r="O50" s="151"/>
      <c r="P50" s="151"/>
      <c r="Q50" s="151"/>
    </row>
    <row r="51" spans="1:17" x14ac:dyDescent="0.2">
      <c r="A51" s="185">
        <f>'Sample Metadata'!D26</f>
        <v>0</v>
      </c>
      <c r="B51" s="57" t="str">
        <f>IF(ISNUMBER('qPCR Run Entry'!G52),'qPCR Run Entry'!G52,"")</f>
        <v/>
      </c>
      <c r="C51" s="57" t="str">
        <f>IF(ISNUMBER('qPCR Run Entry'!R52),'qPCR Run Entry'!R52,"")</f>
        <v/>
      </c>
      <c r="D51" s="57" t="str">
        <f>IF(ISNUMBER('qPCR Run Entry'!AC52),'qPCR Run Entry'!AC52,"")</f>
        <v/>
      </c>
      <c r="E51" s="69" t="s">
        <v>79</v>
      </c>
      <c r="F51" s="69"/>
      <c r="G51" s="69"/>
      <c r="H51" s="119" t="e">
        <f>IF(E51="X",10^((B51-'Standard Curve'!$B$20)/'Standard Curve'!$B$19),IF(F51="X",10^((C51-'Standard Curve'!$B$20)/'Standard Curve'!$B$19),IF(G51="X",10^((D51-'Standard Curve'!$B$20)/'Standard Curve'!$B$19),"")))</f>
        <v>#VALUE!</v>
      </c>
      <c r="I51" s="119" t="e">
        <f t="shared" ref="I51" si="151">AVERAGE(H51:H52)</f>
        <v>#VALUE!</v>
      </c>
      <c r="J51" s="119" t="e">
        <f t="shared" ref="J51" si="152">STDEV(H51:H52)</f>
        <v>#VALUE!</v>
      </c>
      <c r="K51" s="149" t="e">
        <f t="shared" ref="K51" si="153">AVERAGE(H51:H52)</f>
        <v>#VALUE!</v>
      </c>
      <c r="L51" s="149" t="e">
        <f t="shared" ref="L51" si="154">STDEV(H51:H52)</f>
        <v>#VALUE!</v>
      </c>
      <c r="M51" s="187" t="e">
        <f>L51/K51</f>
        <v>#VALUE!</v>
      </c>
      <c r="N51" s="189" t="e">
        <f t="shared" ref="N51" si="155">IF(M51&lt;40%, "Pass","Fail")</f>
        <v>#VALUE!</v>
      </c>
      <c r="O51" s="151" t="str">
        <f>IF(OR(B51 &lt;'Outlier Check'!$L$2, B52 &lt;'Outlier Check'!$L$2, C51 &lt;'Outlier Check'!$L$2, C52 &lt;'Outlier Check'!$L$2, D51 &lt;'Outlier Check'!$L$2, D52 &lt;'Outlier Check'!$L$2), "Fail", "Pass")</f>
        <v>Pass</v>
      </c>
      <c r="P51" s="151" t="e">
        <f>IF(AND(H51&gt;=45, H52&gt;=45), "Pass", "Fail")</f>
        <v>#VALUE!</v>
      </c>
      <c r="Q51" s="151" t="e">
        <f>IF(AND(H51&gt;=100, H52&gt;=100), "Pass", "Fail")</f>
        <v>#VALUE!</v>
      </c>
    </row>
    <row r="52" spans="1:17" x14ac:dyDescent="0.2">
      <c r="A52" s="186"/>
      <c r="B52" s="57" t="str">
        <f>IF(ISNUMBER('qPCR Run Entry'!G53),'qPCR Run Entry'!G53,"")</f>
        <v/>
      </c>
      <c r="C52" s="57" t="str">
        <f>IF(ISNUMBER('qPCR Run Entry'!R53),'qPCR Run Entry'!R53,"")</f>
        <v/>
      </c>
      <c r="D52" s="57" t="str">
        <f>IF(ISNUMBER('qPCR Run Entry'!AC53),'qPCR Run Entry'!AC53,"")</f>
        <v/>
      </c>
      <c r="E52" s="69" t="s">
        <v>79</v>
      </c>
      <c r="F52" s="69"/>
      <c r="G52" s="69"/>
      <c r="H52" s="119" t="e">
        <f>IF(E52="X",10^((B52-'Standard Curve'!$B$20)/'Standard Curve'!$B$19),IF(F52="X",10^((C52-'Standard Curve'!$B$20)/'Standard Curve'!$B$19),IF(G52="X",10^((D52-'Standard Curve'!$B$20)/'Standard Curve'!$B$19),"")))</f>
        <v>#VALUE!</v>
      </c>
      <c r="I52" s="119" t="e">
        <f t="shared" ref="I52" si="156">AVERAGE(H51:H52)</f>
        <v>#VALUE!</v>
      </c>
      <c r="J52" s="119" t="e">
        <f t="shared" ref="J52" si="157">STDEV(H51:H52)</f>
        <v>#VALUE!</v>
      </c>
      <c r="K52" s="149"/>
      <c r="L52" s="149"/>
      <c r="M52" s="187"/>
      <c r="N52" s="151"/>
      <c r="O52" s="151"/>
      <c r="P52" s="151"/>
      <c r="Q52" s="151"/>
    </row>
    <row r="53" spans="1:17" x14ac:dyDescent="0.2">
      <c r="A53" s="185">
        <f>'Sample Metadata'!D27</f>
        <v>0</v>
      </c>
      <c r="B53" s="57" t="str">
        <f>IF(ISNUMBER('qPCR Run Entry'!G54),'qPCR Run Entry'!G54,"")</f>
        <v/>
      </c>
      <c r="C53" s="57" t="str">
        <f>IF(ISNUMBER('qPCR Run Entry'!R54),'qPCR Run Entry'!R54,"")</f>
        <v/>
      </c>
      <c r="D53" s="57" t="str">
        <f>IF(ISNUMBER('qPCR Run Entry'!AC54),'qPCR Run Entry'!AC54,"")</f>
        <v/>
      </c>
      <c r="E53" s="69" t="s">
        <v>79</v>
      </c>
      <c r="F53" s="69"/>
      <c r="G53" s="69"/>
      <c r="H53" s="119" t="e">
        <f>IF(E53="X",10^((B53-'Standard Curve'!$B$20)/'Standard Curve'!$B$19),IF(F53="X",10^((C53-'Standard Curve'!$B$20)/'Standard Curve'!$B$19),IF(G53="X",10^((D53-'Standard Curve'!$B$20)/'Standard Curve'!$B$19),"")))</f>
        <v>#VALUE!</v>
      </c>
      <c r="I53" s="119" t="e">
        <f t="shared" ref="I53" si="158">AVERAGE(H53:H54)</f>
        <v>#VALUE!</v>
      </c>
      <c r="J53" s="119" t="e">
        <f t="shared" ref="J53" si="159">STDEV(H53:H54)</f>
        <v>#VALUE!</v>
      </c>
      <c r="K53" s="149" t="e">
        <f t="shared" ref="K53" si="160">AVERAGE(H53:H54)</f>
        <v>#VALUE!</v>
      </c>
      <c r="L53" s="149" t="e">
        <f t="shared" ref="L53" si="161">STDEV(H53:H54)</f>
        <v>#VALUE!</v>
      </c>
      <c r="M53" s="187" t="e">
        <f>L53/K53</f>
        <v>#VALUE!</v>
      </c>
      <c r="N53" s="189" t="e">
        <f t="shared" ref="N53" si="162">IF(M53&lt;40%, "Pass","Fail")</f>
        <v>#VALUE!</v>
      </c>
      <c r="O53" s="151" t="str">
        <f>IF(OR(B53 &lt;'Outlier Check'!$L$2, B54 &lt;'Outlier Check'!$L$2, C53 &lt;'Outlier Check'!$L$2, C54 &lt;'Outlier Check'!$L$2, D53 &lt;'Outlier Check'!$L$2, D54 &lt;'Outlier Check'!$L$2), "Fail", "Pass")</f>
        <v>Pass</v>
      </c>
      <c r="P53" s="151" t="e">
        <f>IF(AND(H53&gt;=45, H54&gt;=45), "Pass", "Fail")</f>
        <v>#VALUE!</v>
      </c>
      <c r="Q53" s="151" t="e">
        <f>IF(AND(H53&gt;=100, H54&gt;=100), "Pass", "Fail")</f>
        <v>#VALUE!</v>
      </c>
    </row>
    <row r="54" spans="1:17" x14ac:dyDescent="0.2">
      <c r="A54" s="186"/>
      <c r="B54" s="57" t="str">
        <f>IF(ISNUMBER('qPCR Run Entry'!G55),'qPCR Run Entry'!G55,"")</f>
        <v/>
      </c>
      <c r="C54" s="57" t="str">
        <f>IF(ISNUMBER('qPCR Run Entry'!R55),'qPCR Run Entry'!R55,"")</f>
        <v/>
      </c>
      <c r="D54" s="57" t="str">
        <f>IF(ISNUMBER('qPCR Run Entry'!AC55),'qPCR Run Entry'!AC55,"")</f>
        <v/>
      </c>
      <c r="E54" s="69" t="s">
        <v>79</v>
      </c>
      <c r="F54" s="69"/>
      <c r="G54" s="69"/>
      <c r="H54" s="119" t="e">
        <f>IF(E54="X",10^((B54-'Standard Curve'!$B$20)/'Standard Curve'!$B$19),IF(F54="X",10^((C54-'Standard Curve'!$B$20)/'Standard Curve'!$B$19),IF(G54="X",10^((D54-'Standard Curve'!$B$20)/'Standard Curve'!$B$19),"")))</f>
        <v>#VALUE!</v>
      </c>
      <c r="I54" s="119" t="e">
        <f t="shared" ref="I54" si="163">AVERAGE(H53:H54)</f>
        <v>#VALUE!</v>
      </c>
      <c r="J54" s="119" t="e">
        <f t="shared" ref="J54" si="164">STDEV(H53:H54)</f>
        <v>#VALUE!</v>
      </c>
      <c r="K54" s="149"/>
      <c r="L54" s="149"/>
      <c r="M54" s="187"/>
      <c r="N54" s="151"/>
      <c r="O54" s="151"/>
      <c r="P54" s="151"/>
      <c r="Q54" s="151"/>
    </row>
    <row r="55" spans="1:17" x14ac:dyDescent="0.2">
      <c r="A55" s="185">
        <f>'Sample Metadata'!D28</f>
        <v>0</v>
      </c>
      <c r="B55" s="57" t="str">
        <f>IF(ISNUMBER('qPCR Run Entry'!G56),'qPCR Run Entry'!G56,"")</f>
        <v/>
      </c>
      <c r="C55" s="57" t="str">
        <f>IF(ISNUMBER('qPCR Run Entry'!R56),'qPCR Run Entry'!R56,"")</f>
        <v/>
      </c>
      <c r="D55" s="57" t="str">
        <f>IF(ISNUMBER('qPCR Run Entry'!AC56),'qPCR Run Entry'!AC56,"")</f>
        <v/>
      </c>
      <c r="E55" s="69" t="s">
        <v>79</v>
      </c>
      <c r="F55" s="69"/>
      <c r="G55" s="69"/>
      <c r="H55" s="119" t="e">
        <f>IF(E55="X",10^((B55-'Standard Curve'!$B$20)/'Standard Curve'!$B$19),IF(F55="X",10^((C55-'Standard Curve'!$B$20)/'Standard Curve'!$B$19),IF(G55="X",10^((D55-'Standard Curve'!$B$20)/'Standard Curve'!$B$19),"")))</f>
        <v>#VALUE!</v>
      </c>
      <c r="I55" s="119" t="e">
        <f t="shared" ref="I55" si="165">AVERAGE(H55:H56)</f>
        <v>#VALUE!</v>
      </c>
      <c r="J55" s="119" t="e">
        <f t="shared" ref="J55" si="166">STDEV(H55:H56)</f>
        <v>#VALUE!</v>
      </c>
      <c r="K55" s="149" t="e">
        <f t="shared" ref="K55" si="167">AVERAGE(H55:H56)</f>
        <v>#VALUE!</v>
      </c>
      <c r="L55" s="149" t="e">
        <f t="shared" ref="L55" si="168">STDEV(H55:H56)</f>
        <v>#VALUE!</v>
      </c>
      <c r="M55" s="187" t="e">
        <f>L55/K55</f>
        <v>#VALUE!</v>
      </c>
      <c r="N55" s="189" t="e">
        <f t="shared" ref="N55" si="169">IF(M55&lt;40%, "Pass","Fail")</f>
        <v>#VALUE!</v>
      </c>
      <c r="O55" s="151" t="str">
        <f>IF(OR(B55 &lt;'Outlier Check'!$L$2, B56 &lt;'Outlier Check'!$L$2, C55 &lt;'Outlier Check'!$L$2, C56 &lt;'Outlier Check'!$L$2, D55 &lt;'Outlier Check'!$L$2, D56 &lt;'Outlier Check'!$L$2), "Fail", "Pass")</f>
        <v>Pass</v>
      </c>
      <c r="P55" s="151" t="e">
        <f>IF(AND(H55&gt;=45, H56&gt;=45), "Pass", "Fail")</f>
        <v>#VALUE!</v>
      </c>
      <c r="Q55" s="151" t="e">
        <f>IF(AND(H55&gt;=100, H56&gt;=100), "Pass", "Fail")</f>
        <v>#VALUE!</v>
      </c>
    </row>
    <row r="56" spans="1:17" x14ac:dyDescent="0.2">
      <c r="A56" s="186"/>
      <c r="B56" s="57" t="str">
        <f>IF(ISNUMBER('qPCR Run Entry'!G57),'qPCR Run Entry'!G57,"")</f>
        <v/>
      </c>
      <c r="C56" s="57" t="str">
        <f>IF(ISNUMBER('qPCR Run Entry'!R57),'qPCR Run Entry'!R57,"")</f>
        <v/>
      </c>
      <c r="D56" s="57" t="str">
        <f>IF(ISNUMBER('qPCR Run Entry'!AC57),'qPCR Run Entry'!AC57,"")</f>
        <v/>
      </c>
      <c r="E56" s="69" t="s">
        <v>79</v>
      </c>
      <c r="F56" s="69"/>
      <c r="G56" s="69"/>
      <c r="H56" s="119" t="e">
        <f>IF(E56="X",10^((B56-'Standard Curve'!$B$20)/'Standard Curve'!$B$19),IF(F56="X",10^((C56-'Standard Curve'!$B$20)/'Standard Curve'!$B$19),IF(G56="X",10^((D56-'Standard Curve'!$B$20)/'Standard Curve'!$B$19),"")))</f>
        <v>#VALUE!</v>
      </c>
      <c r="I56" s="119" t="e">
        <f t="shared" ref="I56" si="170">AVERAGE(H55:H56)</f>
        <v>#VALUE!</v>
      </c>
      <c r="J56" s="119" t="e">
        <f t="shared" ref="J56" si="171">STDEV(H55:H56)</f>
        <v>#VALUE!</v>
      </c>
      <c r="K56" s="149"/>
      <c r="L56" s="149"/>
      <c r="M56" s="187"/>
      <c r="N56" s="151"/>
      <c r="O56" s="151"/>
      <c r="P56" s="151"/>
      <c r="Q56" s="151"/>
    </row>
    <row r="57" spans="1:17" x14ac:dyDescent="0.2">
      <c r="A57" s="185">
        <f>'Sample Metadata'!D29</f>
        <v>0</v>
      </c>
      <c r="B57" s="57" t="str">
        <f>IF(ISNUMBER('qPCR Run Entry'!G58),'qPCR Run Entry'!G58,"")</f>
        <v/>
      </c>
      <c r="C57" s="57" t="str">
        <f>IF(ISNUMBER('qPCR Run Entry'!R58),'qPCR Run Entry'!R58,"")</f>
        <v/>
      </c>
      <c r="D57" s="57" t="str">
        <f>IF(ISNUMBER('qPCR Run Entry'!AC58),'qPCR Run Entry'!AC58,"")</f>
        <v/>
      </c>
      <c r="E57" s="69" t="s">
        <v>79</v>
      </c>
      <c r="F57" s="69"/>
      <c r="G57" s="69"/>
      <c r="H57" s="119" t="e">
        <f>IF(E57="X",10^((B57-'Standard Curve'!$B$20)/'Standard Curve'!$B$19),IF(F57="X",10^((C57-'Standard Curve'!$B$20)/'Standard Curve'!$B$19),IF(G57="X",10^((D57-'Standard Curve'!$B$20)/'Standard Curve'!$B$19),"")))</f>
        <v>#VALUE!</v>
      </c>
      <c r="I57" s="119" t="e">
        <f t="shared" ref="I57" si="172">AVERAGE(H57:H58)</f>
        <v>#VALUE!</v>
      </c>
      <c r="J57" s="119" t="e">
        <f t="shared" ref="J57" si="173">STDEV(H57:H58)</f>
        <v>#VALUE!</v>
      </c>
      <c r="K57" s="149" t="e">
        <f t="shared" ref="K57" si="174">AVERAGE(H57:H58)</f>
        <v>#VALUE!</v>
      </c>
      <c r="L57" s="149" t="e">
        <f t="shared" ref="L57" si="175">STDEV(H57:H58)</f>
        <v>#VALUE!</v>
      </c>
      <c r="M57" s="187" t="e">
        <f>L57/K57</f>
        <v>#VALUE!</v>
      </c>
      <c r="N57" s="189" t="e">
        <f t="shared" ref="N57" si="176">IF(M57&lt;40%, "Pass","Fail")</f>
        <v>#VALUE!</v>
      </c>
      <c r="O57" s="151" t="str">
        <f>IF(OR(B57 &lt;'Outlier Check'!$L$2, B58 &lt;'Outlier Check'!$L$2, C57 &lt;'Outlier Check'!$L$2, C58 &lt;'Outlier Check'!$L$2, D57 &lt;'Outlier Check'!$L$2, D58 &lt;'Outlier Check'!$L$2), "Fail", "Pass")</f>
        <v>Pass</v>
      </c>
      <c r="P57" s="151" t="e">
        <f>IF(AND(H57&gt;=45, H58&gt;=45), "Pass", "Fail")</f>
        <v>#VALUE!</v>
      </c>
      <c r="Q57" s="151" t="e">
        <f>IF(AND(H57&gt;=100, H58&gt;=100), "Pass", "Fail")</f>
        <v>#VALUE!</v>
      </c>
    </row>
    <row r="58" spans="1:17" x14ac:dyDescent="0.2">
      <c r="A58" s="186"/>
      <c r="B58" s="57" t="str">
        <f>IF(ISNUMBER('qPCR Run Entry'!G59),'qPCR Run Entry'!G59,"")</f>
        <v/>
      </c>
      <c r="C58" s="57" t="str">
        <f>IF(ISNUMBER('qPCR Run Entry'!R59),'qPCR Run Entry'!R59,"")</f>
        <v/>
      </c>
      <c r="D58" s="57" t="str">
        <f>IF(ISNUMBER('qPCR Run Entry'!AC59),'qPCR Run Entry'!AC59,"")</f>
        <v/>
      </c>
      <c r="E58" s="69" t="s">
        <v>79</v>
      </c>
      <c r="F58" s="69"/>
      <c r="G58" s="69"/>
      <c r="H58" s="119" t="e">
        <f>IF(E58="X",10^((B58-'Standard Curve'!$B$20)/'Standard Curve'!$B$19),IF(F58="X",10^((C58-'Standard Curve'!$B$20)/'Standard Curve'!$B$19),IF(G58="X",10^((D58-'Standard Curve'!$B$20)/'Standard Curve'!$B$19),"")))</f>
        <v>#VALUE!</v>
      </c>
      <c r="I58" s="119" t="e">
        <f t="shared" ref="I58" si="177">AVERAGE(H57:H58)</f>
        <v>#VALUE!</v>
      </c>
      <c r="J58" s="119" t="e">
        <f t="shared" ref="J58" si="178">STDEV(H57:H58)</f>
        <v>#VALUE!</v>
      </c>
      <c r="K58" s="149"/>
      <c r="L58" s="149"/>
      <c r="M58" s="187"/>
      <c r="N58" s="151"/>
      <c r="O58" s="151"/>
      <c r="P58" s="151"/>
      <c r="Q58" s="151"/>
    </row>
    <row r="59" spans="1:17" x14ac:dyDescent="0.2">
      <c r="A59" s="185">
        <f>'Sample Metadata'!D30</f>
        <v>0</v>
      </c>
      <c r="B59" s="57" t="str">
        <f>IF(ISNUMBER('qPCR Run Entry'!G60),'qPCR Run Entry'!G60,"")</f>
        <v/>
      </c>
      <c r="C59" s="57" t="str">
        <f>IF(ISNUMBER('qPCR Run Entry'!R60),'qPCR Run Entry'!R60,"")</f>
        <v/>
      </c>
      <c r="D59" s="57" t="str">
        <f>IF(ISNUMBER('qPCR Run Entry'!AC60),'qPCR Run Entry'!AC60,"")</f>
        <v/>
      </c>
      <c r="E59" s="69" t="s">
        <v>79</v>
      </c>
      <c r="F59" s="69"/>
      <c r="G59" s="69"/>
      <c r="H59" s="119" t="e">
        <f>IF(E59="X",10^((B59-'Standard Curve'!$B$20)/'Standard Curve'!$B$19),IF(F59="X",10^((C59-'Standard Curve'!$B$20)/'Standard Curve'!$B$19),IF(G59="X",10^((D59-'Standard Curve'!$B$20)/'Standard Curve'!$B$19),"")))</f>
        <v>#VALUE!</v>
      </c>
      <c r="I59" s="119" t="e">
        <f t="shared" ref="I59" si="179">AVERAGE(H59:H60)</f>
        <v>#VALUE!</v>
      </c>
      <c r="J59" s="119" t="e">
        <f t="shared" ref="J59" si="180">STDEV(H59:H60)</f>
        <v>#VALUE!</v>
      </c>
      <c r="K59" s="149" t="e">
        <f t="shared" ref="K59" si="181">AVERAGE(H59:H60)</f>
        <v>#VALUE!</v>
      </c>
      <c r="L59" s="149" t="e">
        <f t="shared" ref="L59" si="182">STDEV(H59:H60)</f>
        <v>#VALUE!</v>
      </c>
      <c r="M59" s="187" t="e">
        <f>L59/K59</f>
        <v>#VALUE!</v>
      </c>
      <c r="N59" s="189" t="e">
        <f t="shared" ref="N59" si="183">IF(M59&lt;40%, "Pass","Fail")</f>
        <v>#VALUE!</v>
      </c>
      <c r="O59" s="151" t="str">
        <f>IF(OR(B59 &lt;'Outlier Check'!$L$2, B60 &lt;'Outlier Check'!$L$2, C59 &lt;'Outlier Check'!$L$2, C60 &lt;'Outlier Check'!$L$2, D59 &lt;'Outlier Check'!$L$2, D60 &lt;'Outlier Check'!$L$2), "Fail", "Pass")</f>
        <v>Pass</v>
      </c>
      <c r="P59" s="151" t="e">
        <f>IF(AND(H59&gt;=45, H60&gt;=45), "Pass", "Fail")</f>
        <v>#VALUE!</v>
      </c>
      <c r="Q59" s="151" t="e">
        <f>IF(AND(H59&gt;=100, H60&gt;=100), "Pass", "Fail")</f>
        <v>#VALUE!</v>
      </c>
    </row>
    <row r="60" spans="1:17" x14ac:dyDescent="0.2">
      <c r="A60" s="186"/>
      <c r="B60" s="57" t="str">
        <f>IF(ISNUMBER('qPCR Run Entry'!G61),'qPCR Run Entry'!G61,"")</f>
        <v/>
      </c>
      <c r="C60" s="57" t="str">
        <f>IF(ISNUMBER('qPCR Run Entry'!R61),'qPCR Run Entry'!R61,"")</f>
        <v/>
      </c>
      <c r="D60" s="57" t="str">
        <f>IF(ISNUMBER('qPCR Run Entry'!AC61),'qPCR Run Entry'!AC61,"")</f>
        <v/>
      </c>
      <c r="E60" s="69" t="s">
        <v>79</v>
      </c>
      <c r="F60" s="69"/>
      <c r="G60" s="69"/>
      <c r="H60" s="119" t="e">
        <f>IF(E60="X",10^((B60-'Standard Curve'!$B$20)/'Standard Curve'!$B$19),IF(F60="X",10^((C60-'Standard Curve'!$B$20)/'Standard Curve'!$B$19),IF(G60="X",10^((D60-'Standard Curve'!$B$20)/'Standard Curve'!$B$19),"")))</f>
        <v>#VALUE!</v>
      </c>
      <c r="I60" s="119" t="e">
        <f t="shared" ref="I60" si="184">AVERAGE(H59:H60)</f>
        <v>#VALUE!</v>
      </c>
      <c r="J60" s="119" t="e">
        <f t="shared" ref="J60" si="185">STDEV(H59:H60)</f>
        <v>#VALUE!</v>
      </c>
      <c r="K60" s="149"/>
      <c r="L60" s="149"/>
      <c r="M60" s="187"/>
      <c r="N60" s="151"/>
      <c r="O60" s="151"/>
      <c r="P60" s="151"/>
      <c r="Q60" s="151"/>
    </row>
    <row r="61" spans="1:17" x14ac:dyDescent="0.2">
      <c r="A61" s="185">
        <f>'Sample Metadata'!D31</f>
        <v>0</v>
      </c>
      <c r="B61" s="57" t="str">
        <f>IF(ISNUMBER('qPCR Run Entry'!G62),'qPCR Run Entry'!G62,"")</f>
        <v/>
      </c>
      <c r="C61" s="57" t="str">
        <f>IF(ISNUMBER('qPCR Run Entry'!R62),'qPCR Run Entry'!R62,"")</f>
        <v/>
      </c>
      <c r="D61" s="57" t="str">
        <f>IF(ISNUMBER('qPCR Run Entry'!AC62),'qPCR Run Entry'!AC62,"")</f>
        <v/>
      </c>
      <c r="E61" s="69" t="s">
        <v>79</v>
      </c>
      <c r="F61" s="69"/>
      <c r="G61" s="69"/>
      <c r="H61" s="119" t="e">
        <f>IF(E61="X",10^((B61-'Standard Curve'!$B$20)/'Standard Curve'!$B$19),IF(F61="X",10^((C61-'Standard Curve'!$B$20)/'Standard Curve'!$B$19),IF(G61="X",10^((D61-'Standard Curve'!$B$20)/'Standard Curve'!$B$19),"")))</f>
        <v>#VALUE!</v>
      </c>
      <c r="I61" s="119" t="e">
        <f t="shared" ref="I61" si="186">AVERAGE(H61:H62)</f>
        <v>#VALUE!</v>
      </c>
      <c r="J61" s="119" t="e">
        <f t="shared" ref="J61" si="187">STDEV(H61:H62)</f>
        <v>#VALUE!</v>
      </c>
      <c r="K61" s="149" t="e">
        <f t="shared" ref="K61" si="188">AVERAGE(H61:H62)</f>
        <v>#VALUE!</v>
      </c>
      <c r="L61" s="149" t="e">
        <f t="shared" ref="L61" si="189">STDEV(H61:H62)</f>
        <v>#VALUE!</v>
      </c>
      <c r="M61" s="187" t="e">
        <f>L61/K61</f>
        <v>#VALUE!</v>
      </c>
      <c r="N61" s="189" t="e">
        <f t="shared" ref="N61" si="190">IF(M61&lt;40%, "Pass","Fail")</f>
        <v>#VALUE!</v>
      </c>
      <c r="O61" s="151" t="str">
        <f>IF(OR(B61 &lt;'Outlier Check'!$L$2, B62 &lt;'Outlier Check'!$L$2, C61 &lt;'Outlier Check'!$L$2, C62 &lt;'Outlier Check'!$L$2, D61 &lt;'Outlier Check'!$L$2, D62 &lt;'Outlier Check'!$L$2), "Fail", "Pass")</f>
        <v>Pass</v>
      </c>
      <c r="P61" s="151" t="e">
        <f>IF(AND(H61&gt;=45, H62&gt;=45), "Pass", "Fail")</f>
        <v>#VALUE!</v>
      </c>
      <c r="Q61" s="151" t="e">
        <f>IF(AND(H61&gt;=100, H62&gt;=100), "Pass", "Fail")</f>
        <v>#VALUE!</v>
      </c>
    </row>
    <row r="62" spans="1:17" x14ac:dyDescent="0.2">
      <c r="A62" s="186"/>
      <c r="B62" s="57" t="str">
        <f>IF(ISNUMBER('qPCR Run Entry'!G63),'qPCR Run Entry'!G63,"")</f>
        <v/>
      </c>
      <c r="C62" s="57" t="str">
        <f>IF(ISNUMBER('qPCR Run Entry'!R63),'qPCR Run Entry'!R63,"")</f>
        <v/>
      </c>
      <c r="D62" s="57" t="str">
        <f>IF(ISNUMBER('qPCR Run Entry'!AC63),'qPCR Run Entry'!AC63,"")</f>
        <v/>
      </c>
      <c r="E62" s="69" t="s">
        <v>79</v>
      </c>
      <c r="F62" s="69"/>
      <c r="G62" s="69"/>
      <c r="H62" s="119" t="e">
        <f>IF(E62="X",10^((B62-'Standard Curve'!$B$20)/'Standard Curve'!$B$19),IF(F62="X",10^((C62-'Standard Curve'!$B$20)/'Standard Curve'!$B$19),IF(G62="X",10^((D62-'Standard Curve'!$B$20)/'Standard Curve'!$B$19),"")))</f>
        <v>#VALUE!</v>
      </c>
      <c r="I62" s="119" t="e">
        <f t="shared" ref="I62" si="191">AVERAGE(H61:H62)</f>
        <v>#VALUE!</v>
      </c>
      <c r="J62" s="119" t="e">
        <f t="shared" ref="J62" si="192">STDEV(H61:H62)</f>
        <v>#VALUE!</v>
      </c>
      <c r="K62" s="149"/>
      <c r="L62" s="149"/>
      <c r="M62" s="187"/>
      <c r="N62" s="151"/>
      <c r="O62" s="151"/>
      <c r="P62" s="151"/>
      <c r="Q62" s="151"/>
    </row>
    <row r="63" spans="1:17" x14ac:dyDescent="0.2">
      <c r="A63" s="185">
        <f>'Sample Metadata'!D32</f>
        <v>0</v>
      </c>
      <c r="B63" s="57" t="str">
        <f>IF(ISNUMBER('qPCR Run Entry'!G64),'qPCR Run Entry'!G64,"")</f>
        <v/>
      </c>
      <c r="C63" s="57" t="str">
        <f>IF(ISNUMBER('qPCR Run Entry'!R64),'qPCR Run Entry'!R64,"")</f>
        <v/>
      </c>
      <c r="D63" s="57" t="str">
        <f>IF(ISNUMBER('qPCR Run Entry'!AC64),'qPCR Run Entry'!AC64,"")</f>
        <v/>
      </c>
      <c r="E63" s="69" t="s">
        <v>79</v>
      </c>
      <c r="F63" s="69"/>
      <c r="G63" s="69"/>
      <c r="H63" s="119" t="e">
        <f>IF(E63="X",10^((B63-'Standard Curve'!$B$20)/'Standard Curve'!$B$19),IF(F63="X",10^((C63-'Standard Curve'!$B$20)/'Standard Curve'!$B$19),IF(G63="X",10^((D63-'Standard Curve'!$B$20)/'Standard Curve'!$B$19),"")))</f>
        <v>#VALUE!</v>
      </c>
      <c r="I63" s="119" t="e">
        <f t="shared" ref="I63" si="193">AVERAGE(H63:H64)</f>
        <v>#VALUE!</v>
      </c>
      <c r="J63" s="119" t="e">
        <f t="shared" ref="J63" si="194">STDEV(H63:H64)</f>
        <v>#VALUE!</v>
      </c>
      <c r="K63" s="149" t="e">
        <f t="shared" ref="K63" si="195">AVERAGE(H63:H64)</f>
        <v>#VALUE!</v>
      </c>
      <c r="L63" s="149" t="e">
        <f t="shared" ref="L63" si="196">STDEV(H63:H64)</f>
        <v>#VALUE!</v>
      </c>
      <c r="M63" s="187" t="e">
        <f>L63/K63</f>
        <v>#VALUE!</v>
      </c>
      <c r="N63" s="189" t="e">
        <f t="shared" ref="N63" si="197">IF(M63&lt;40%, "Pass","Fail")</f>
        <v>#VALUE!</v>
      </c>
      <c r="O63" s="151" t="str">
        <f>IF(OR(B63 &lt;'Outlier Check'!$L$2, B64 &lt;'Outlier Check'!$L$2, C63 &lt;'Outlier Check'!$L$2, C64 &lt;'Outlier Check'!$L$2, D63 &lt;'Outlier Check'!$L$2, D64 &lt;'Outlier Check'!$L$2), "Fail", "Pass")</f>
        <v>Pass</v>
      </c>
      <c r="P63" s="151" t="e">
        <f>IF(AND(H63&gt;=45, H64&gt;=45), "Pass", "Fail")</f>
        <v>#VALUE!</v>
      </c>
      <c r="Q63" s="151" t="e">
        <f>IF(AND(H63&gt;=100, H64&gt;=100), "Pass", "Fail")</f>
        <v>#VALUE!</v>
      </c>
    </row>
    <row r="64" spans="1:17" x14ac:dyDescent="0.2">
      <c r="A64" s="186"/>
      <c r="B64" s="57" t="str">
        <f>IF(ISNUMBER('qPCR Run Entry'!G65),'qPCR Run Entry'!G65,"")</f>
        <v/>
      </c>
      <c r="C64" s="57" t="str">
        <f>IF(ISNUMBER('qPCR Run Entry'!R65),'qPCR Run Entry'!R65,"")</f>
        <v/>
      </c>
      <c r="D64" s="57" t="str">
        <f>IF(ISNUMBER('qPCR Run Entry'!AC65),'qPCR Run Entry'!AC65,"")</f>
        <v/>
      </c>
      <c r="E64" s="69" t="s">
        <v>79</v>
      </c>
      <c r="F64" s="69"/>
      <c r="G64" s="69"/>
      <c r="H64" s="119" t="e">
        <f>IF(E64="X",10^((B64-'Standard Curve'!$B$20)/'Standard Curve'!$B$19),IF(F64="X",10^((C64-'Standard Curve'!$B$20)/'Standard Curve'!$B$19),IF(G64="X",10^((D64-'Standard Curve'!$B$20)/'Standard Curve'!$B$19),"")))</f>
        <v>#VALUE!</v>
      </c>
      <c r="I64" s="119" t="e">
        <f t="shared" ref="I64" si="198">AVERAGE(H63:H64)</f>
        <v>#VALUE!</v>
      </c>
      <c r="J64" s="119" t="e">
        <f t="shared" ref="J64" si="199">STDEV(H63:H64)</f>
        <v>#VALUE!</v>
      </c>
      <c r="K64" s="149"/>
      <c r="L64" s="149"/>
      <c r="M64" s="187"/>
      <c r="N64" s="151"/>
      <c r="O64" s="151"/>
      <c r="P64" s="151"/>
      <c r="Q64" s="151"/>
    </row>
    <row r="65" spans="1:17" x14ac:dyDescent="0.2">
      <c r="A65" s="185">
        <f>'Sample Metadata'!D33</f>
        <v>0</v>
      </c>
      <c r="B65" s="57" t="str">
        <f>IF(ISNUMBER('qPCR Run Entry'!G66),'qPCR Run Entry'!G66,"")</f>
        <v/>
      </c>
      <c r="C65" s="57" t="str">
        <f>IF(ISNUMBER('qPCR Run Entry'!R66),'qPCR Run Entry'!R66,"")</f>
        <v/>
      </c>
      <c r="D65" s="57" t="str">
        <f>IF(ISNUMBER('qPCR Run Entry'!AC66),'qPCR Run Entry'!AC66,"")</f>
        <v/>
      </c>
      <c r="E65" s="69" t="s">
        <v>79</v>
      </c>
      <c r="F65" s="69"/>
      <c r="G65" s="69"/>
      <c r="H65" s="119" t="e">
        <f>IF(E65="X",10^((B65-'Standard Curve'!$B$20)/'Standard Curve'!$B$19),IF(F65="X",10^((C65-'Standard Curve'!$B$20)/'Standard Curve'!$B$19),IF(G65="X",10^((D65-'Standard Curve'!$B$20)/'Standard Curve'!$B$19),"")))</f>
        <v>#VALUE!</v>
      </c>
      <c r="I65" s="119" t="e">
        <f t="shared" ref="I65" si="200">AVERAGE(H65:H66)</f>
        <v>#VALUE!</v>
      </c>
      <c r="J65" s="119" t="e">
        <f t="shared" ref="J65" si="201">STDEV(H65:H66)</f>
        <v>#VALUE!</v>
      </c>
      <c r="K65" s="149" t="e">
        <f t="shared" ref="K65" si="202">AVERAGE(H65:H66)</f>
        <v>#VALUE!</v>
      </c>
      <c r="L65" s="149" t="e">
        <f t="shared" ref="L65" si="203">STDEV(H65:H66)</f>
        <v>#VALUE!</v>
      </c>
      <c r="M65" s="187" t="e">
        <f>L65/K65</f>
        <v>#VALUE!</v>
      </c>
      <c r="N65" s="189" t="e">
        <f t="shared" ref="N65" si="204">IF(M65&lt;40%, "Pass","Fail")</f>
        <v>#VALUE!</v>
      </c>
      <c r="O65" s="151" t="str">
        <f>IF(OR(B65 &lt;'Outlier Check'!$L$2, B66 &lt;'Outlier Check'!$L$2, C65 &lt;'Outlier Check'!$L$2, C66 &lt;'Outlier Check'!$L$2, D65 &lt;'Outlier Check'!$L$2, D66 &lt;'Outlier Check'!$L$2), "Fail", "Pass")</f>
        <v>Pass</v>
      </c>
      <c r="P65" s="151" t="e">
        <f>IF(AND(H65&gt;=45, H66&gt;=45), "Pass", "Fail")</f>
        <v>#VALUE!</v>
      </c>
      <c r="Q65" s="151" t="e">
        <f>IF(AND(H65&gt;=100, H66&gt;=100), "Pass", "Fail")</f>
        <v>#VALUE!</v>
      </c>
    </row>
    <row r="66" spans="1:17" x14ac:dyDescent="0.2">
      <c r="A66" s="186"/>
      <c r="B66" s="57" t="str">
        <f>IF(ISNUMBER('qPCR Run Entry'!G67),'qPCR Run Entry'!G67,"")</f>
        <v/>
      </c>
      <c r="C66" s="57" t="str">
        <f>IF(ISNUMBER('qPCR Run Entry'!R67),'qPCR Run Entry'!R67,"")</f>
        <v/>
      </c>
      <c r="D66" s="57" t="str">
        <f>IF(ISNUMBER('qPCR Run Entry'!AC67),'qPCR Run Entry'!AC67,"")</f>
        <v/>
      </c>
      <c r="E66" s="69" t="s">
        <v>79</v>
      </c>
      <c r="F66" s="69"/>
      <c r="G66" s="69"/>
      <c r="H66" s="119" t="e">
        <f>IF(E66="X",10^((B66-'Standard Curve'!$B$20)/'Standard Curve'!$B$19),IF(F66="X",10^((C66-'Standard Curve'!$B$20)/'Standard Curve'!$B$19),IF(G66="X",10^((D66-'Standard Curve'!$B$20)/'Standard Curve'!$B$19),"")))</f>
        <v>#VALUE!</v>
      </c>
      <c r="I66" s="119" t="e">
        <f t="shared" ref="I66" si="205">AVERAGE(H65:H66)</f>
        <v>#VALUE!</v>
      </c>
      <c r="J66" s="119" t="e">
        <f t="shared" ref="J66" si="206">STDEV(H65:H66)</f>
        <v>#VALUE!</v>
      </c>
      <c r="K66" s="149"/>
      <c r="L66" s="149"/>
      <c r="M66" s="187"/>
      <c r="N66" s="151"/>
      <c r="O66" s="151"/>
      <c r="P66" s="151"/>
      <c r="Q66" s="151"/>
    </row>
    <row r="67" spans="1:17" x14ac:dyDescent="0.2">
      <c r="A67" s="185">
        <f>'Sample Metadata'!D34</f>
        <v>0</v>
      </c>
      <c r="B67" s="57" t="str">
        <f>IF(ISNUMBER('qPCR Run Entry'!G68),'qPCR Run Entry'!G68,"")</f>
        <v/>
      </c>
      <c r="C67" s="57" t="str">
        <f>IF(ISNUMBER('qPCR Run Entry'!R68),'qPCR Run Entry'!R68,"")</f>
        <v/>
      </c>
      <c r="D67" s="57" t="str">
        <f>IF(ISNUMBER('qPCR Run Entry'!AC68),'qPCR Run Entry'!AC68,"")</f>
        <v/>
      </c>
      <c r="E67" s="69" t="s">
        <v>79</v>
      </c>
      <c r="F67" s="69"/>
      <c r="G67" s="69"/>
      <c r="H67" s="119" t="e">
        <f>IF(E67="X",10^((B67-'Standard Curve'!$B$20)/'Standard Curve'!$B$19),IF(F67="X",10^((C67-'Standard Curve'!$B$20)/'Standard Curve'!$B$19),IF(G67="X",10^((D67-'Standard Curve'!$B$20)/'Standard Curve'!$B$19),"")))</f>
        <v>#VALUE!</v>
      </c>
      <c r="I67" s="119" t="e">
        <f t="shared" ref="I67" si="207">AVERAGE(H67:H68)</f>
        <v>#VALUE!</v>
      </c>
      <c r="J67" s="119" t="e">
        <f t="shared" ref="J67" si="208">STDEV(H67:H68)</f>
        <v>#VALUE!</v>
      </c>
      <c r="K67" s="149" t="e">
        <f t="shared" ref="K67" si="209">AVERAGE(H67:H68)</f>
        <v>#VALUE!</v>
      </c>
      <c r="L67" s="149" t="e">
        <f t="shared" ref="L67" si="210">STDEV(H67:H68)</f>
        <v>#VALUE!</v>
      </c>
      <c r="M67" s="187" t="e">
        <f t="shared" ref="M67" si="211">L67/K67</f>
        <v>#VALUE!</v>
      </c>
      <c r="N67" s="189" t="e">
        <f t="shared" ref="N67" si="212">IF(M67&lt;40%, "Pass","Fail")</f>
        <v>#VALUE!</v>
      </c>
      <c r="O67" s="151" t="str">
        <f>IF(OR(B67 &lt;'Outlier Check'!$L$2, B68 &lt;'Outlier Check'!$L$2, C67 &lt;'Outlier Check'!$L$2, C68 &lt;'Outlier Check'!$L$2, D67 &lt;'Outlier Check'!$L$2, D68 &lt;'Outlier Check'!$L$2), "Fail", "Pass")</f>
        <v>Pass</v>
      </c>
      <c r="P67" s="151" t="e">
        <f>IF(AND(H67&gt;=45, H68&gt;=45), "Pass", "Fail")</f>
        <v>#VALUE!</v>
      </c>
      <c r="Q67" s="151" t="e">
        <f>IF(AND(H67&gt;=100, H68&gt;=100), "Pass", "Fail")</f>
        <v>#VALUE!</v>
      </c>
    </row>
    <row r="68" spans="1:17" x14ac:dyDescent="0.2">
      <c r="A68" s="186"/>
      <c r="B68" s="57" t="str">
        <f>IF(ISNUMBER('qPCR Run Entry'!G69),'qPCR Run Entry'!G69,"")</f>
        <v/>
      </c>
      <c r="C68" s="57" t="str">
        <f>IF(ISNUMBER('qPCR Run Entry'!R69),'qPCR Run Entry'!R69,"")</f>
        <v/>
      </c>
      <c r="D68" s="57" t="str">
        <f>IF(ISNUMBER('qPCR Run Entry'!AC69),'qPCR Run Entry'!AC69,"")</f>
        <v/>
      </c>
      <c r="E68" s="69" t="s">
        <v>79</v>
      </c>
      <c r="F68" s="69"/>
      <c r="G68" s="69"/>
      <c r="H68" s="119" t="e">
        <f>IF(E68="X",10^((B68-'Standard Curve'!$B$20)/'Standard Curve'!$B$19),IF(F68="X",10^((C68-'Standard Curve'!$B$20)/'Standard Curve'!$B$19),IF(G68="X",10^((D68-'Standard Curve'!$B$20)/'Standard Curve'!$B$19),"")))</f>
        <v>#VALUE!</v>
      </c>
      <c r="I68" s="119" t="e">
        <f t="shared" ref="I68" si="213">AVERAGE(H67:H68)</f>
        <v>#VALUE!</v>
      </c>
      <c r="J68" s="119" t="e">
        <f t="shared" ref="J68" si="214">STDEV(H67:H68)</f>
        <v>#VALUE!</v>
      </c>
      <c r="K68" s="149"/>
      <c r="L68" s="149"/>
      <c r="M68" s="187"/>
      <c r="N68" s="151"/>
      <c r="O68" s="151"/>
      <c r="P68" s="151"/>
      <c r="Q68" s="151"/>
    </row>
    <row r="69" spans="1:17" x14ac:dyDescent="0.2">
      <c r="A69" s="185">
        <f>'Sample Metadata'!D35</f>
        <v>0</v>
      </c>
      <c r="B69" s="57" t="str">
        <f>IF(ISNUMBER('qPCR Run Entry'!G70),'qPCR Run Entry'!G70,"")</f>
        <v/>
      </c>
      <c r="C69" s="57" t="str">
        <f>IF(ISNUMBER('qPCR Run Entry'!R70),'qPCR Run Entry'!R70,"")</f>
        <v/>
      </c>
      <c r="D69" s="57" t="str">
        <f>IF(ISNUMBER('qPCR Run Entry'!AC70),'qPCR Run Entry'!AC70,"")</f>
        <v/>
      </c>
      <c r="E69" s="69" t="s">
        <v>79</v>
      </c>
      <c r="F69" s="69"/>
      <c r="G69" s="69"/>
      <c r="H69" s="119" t="e">
        <f>IF(E69="X",10^((B69-'Standard Curve'!$B$20)/'Standard Curve'!$B$19),IF(F69="X",10^((C69-'Standard Curve'!$B$20)/'Standard Curve'!$B$19),IF(G69="X",10^((D69-'Standard Curve'!$B$20)/'Standard Curve'!$B$19),"")))</f>
        <v>#VALUE!</v>
      </c>
      <c r="I69" s="119" t="e">
        <f t="shared" ref="I69" si="215">AVERAGE(H69:H70)</f>
        <v>#VALUE!</v>
      </c>
      <c r="J69" s="119" t="e">
        <f t="shared" ref="J69" si="216">STDEV(H69:H70)</f>
        <v>#VALUE!</v>
      </c>
      <c r="K69" s="149" t="e">
        <f t="shared" ref="K69" si="217">AVERAGE(H69:H70)</f>
        <v>#VALUE!</v>
      </c>
      <c r="L69" s="149" t="e">
        <f t="shared" ref="L69" si="218">STDEV(H69:H70)</f>
        <v>#VALUE!</v>
      </c>
      <c r="M69" s="187" t="e">
        <f t="shared" ref="M69" si="219">L69/K69</f>
        <v>#VALUE!</v>
      </c>
      <c r="N69" s="189" t="e">
        <f t="shared" ref="N69" si="220">IF(M69&lt;40%, "Pass","Fail")</f>
        <v>#VALUE!</v>
      </c>
      <c r="O69" s="151" t="str">
        <f>IF(OR(B69 &lt;'Outlier Check'!$L$2, B70 &lt;'Outlier Check'!$L$2, C69 &lt;'Outlier Check'!$L$2, C70 &lt;'Outlier Check'!$L$2, D69 &lt;'Outlier Check'!$L$2, D70 &lt;'Outlier Check'!$L$2), "Fail", "Pass")</f>
        <v>Pass</v>
      </c>
      <c r="P69" s="151" t="e">
        <f>IF(AND(H69&gt;=45, H70&gt;=45), "Pass", "Fail")</f>
        <v>#VALUE!</v>
      </c>
      <c r="Q69" s="151" t="e">
        <f>IF(AND(H69&gt;=100, H70&gt;=100), "Pass", "Fail")</f>
        <v>#VALUE!</v>
      </c>
    </row>
    <row r="70" spans="1:17" x14ac:dyDescent="0.2">
      <c r="A70" s="186"/>
      <c r="B70" s="57" t="str">
        <f>IF(ISNUMBER('qPCR Run Entry'!G71),'qPCR Run Entry'!G71,"")</f>
        <v/>
      </c>
      <c r="C70" s="57" t="str">
        <f>IF(ISNUMBER('qPCR Run Entry'!R71),'qPCR Run Entry'!R71,"")</f>
        <v/>
      </c>
      <c r="D70" s="57" t="str">
        <f>IF(ISNUMBER('qPCR Run Entry'!AC71),'qPCR Run Entry'!AC71,"")</f>
        <v/>
      </c>
      <c r="E70" s="69" t="s">
        <v>79</v>
      </c>
      <c r="F70" s="69"/>
      <c r="G70" s="69"/>
      <c r="H70" s="119" t="e">
        <f>IF(E70="X",10^((B70-'Standard Curve'!$B$20)/'Standard Curve'!$B$19),IF(F70="X",10^((C70-'Standard Curve'!$B$20)/'Standard Curve'!$B$19),IF(G70="X",10^((D70-'Standard Curve'!$B$20)/'Standard Curve'!$B$19),"")))</f>
        <v>#VALUE!</v>
      </c>
      <c r="I70" s="119" t="e">
        <f t="shared" ref="I70" si="221">AVERAGE(H69:H70)</f>
        <v>#VALUE!</v>
      </c>
      <c r="J70" s="119" t="e">
        <f t="shared" ref="J70" si="222">STDEV(H69:H70)</f>
        <v>#VALUE!</v>
      </c>
      <c r="K70" s="149"/>
      <c r="L70" s="149"/>
      <c r="M70" s="187"/>
      <c r="N70" s="151"/>
      <c r="O70" s="151"/>
      <c r="P70" s="151"/>
      <c r="Q70" s="151"/>
    </row>
    <row r="71" spans="1:17" x14ac:dyDescent="0.2">
      <c r="A71" s="185">
        <f>'Sample Metadata'!D36</f>
        <v>0</v>
      </c>
      <c r="B71" s="57" t="str">
        <f>IF(ISNUMBER('qPCR Run Entry'!G72),'qPCR Run Entry'!G72,"")</f>
        <v/>
      </c>
      <c r="C71" s="57" t="str">
        <f>IF(ISNUMBER('qPCR Run Entry'!R72),'qPCR Run Entry'!R72,"")</f>
        <v/>
      </c>
      <c r="D71" s="57" t="str">
        <f>IF(ISNUMBER('qPCR Run Entry'!AC72),'qPCR Run Entry'!AC72,"")</f>
        <v/>
      </c>
      <c r="E71" s="69" t="s">
        <v>79</v>
      </c>
      <c r="F71" s="69"/>
      <c r="G71" s="69"/>
      <c r="H71" s="119" t="e">
        <f>IF(E71="X",10^((B71-'Standard Curve'!$B$20)/'Standard Curve'!$B$19),IF(F71="X",10^((C71-'Standard Curve'!$B$20)/'Standard Curve'!$B$19),IF(G71="X",10^((D71-'Standard Curve'!$B$20)/'Standard Curve'!$B$19),"")))</f>
        <v>#VALUE!</v>
      </c>
      <c r="I71" s="119" t="e">
        <f t="shared" ref="I71" si="223">AVERAGE(H71:H72)</f>
        <v>#VALUE!</v>
      </c>
      <c r="J71" s="119" t="e">
        <f t="shared" ref="J71" si="224">STDEV(H71:H72)</f>
        <v>#VALUE!</v>
      </c>
      <c r="K71" s="149" t="e">
        <f t="shared" ref="K71" si="225">AVERAGE(H71:H72)</f>
        <v>#VALUE!</v>
      </c>
      <c r="L71" s="149" t="e">
        <f t="shared" ref="L71" si="226">STDEV(H71:H72)</f>
        <v>#VALUE!</v>
      </c>
      <c r="M71" s="187" t="e">
        <f t="shared" ref="M71" si="227">L71/K71</f>
        <v>#VALUE!</v>
      </c>
      <c r="N71" s="189" t="e">
        <f t="shared" ref="N71" si="228">IF(M71&lt;40%, "Pass","Fail")</f>
        <v>#VALUE!</v>
      </c>
      <c r="O71" s="151" t="str">
        <f>IF(OR(B71 &lt;'Outlier Check'!$L$2, B72 &lt;'Outlier Check'!$L$2, C71 &lt;'Outlier Check'!$L$2, C72 &lt;'Outlier Check'!$L$2, D71 &lt;'Outlier Check'!$L$2, D72 &lt;'Outlier Check'!$L$2), "Fail", "Pass")</f>
        <v>Pass</v>
      </c>
      <c r="P71" s="151" t="e">
        <f>IF(AND(H71&gt;=45, H72&gt;=45), "Pass", "Fail")</f>
        <v>#VALUE!</v>
      </c>
      <c r="Q71" s="151" t="e">
        <f>IF(AND(H71&gt;=100, H72&gt;=100), "Pass", "Fail")</f>
        <v>#VALUE!</v>
      </c>
    </row>
    <row r="72" spans="1:17" x14ac:dyDescent="0.2">
      <c r="A72" s="186"/>
      <c r="B72" s="57" t="str">
        <f>IF(ISNUMBER('qPCR Run Entry'!G73),'qPCR Run Entry'!G73,"")</f>
        <v/>
      </c>
      <c r="C72" s="57" t="str">
        <f>IF(ISNUMBER('qPCR Run Entry'!R73),'qPCR Run Entry'!R73,"")</f>
        <v/>
      </c>
      <c r="D72" s="57" t="str">
        <f>IF(ISNUMBER('qPCR Run Entry'!AC73),'qPCR Run Entry'!AC73,"")</f>
        <v/>
      </c>
      <c r="E72" s="69" t="s">
        <v>79</v>
      </c>
      <c r="F72" s="69"/>
      <c r="G72" s="69"/>
      <c r="H72" s="119" t="e">
        <f>IF(E72="X",10^((B72-'Standard Curve'!$B$20)/'Standard Curve'!$B$19),IF(F72="X",10^((C72-'Standard Curve'!$B$20)/'Standard Curve'!$B$19),IF(G72="X",10^((D72-'Standard Curve'!$B$20)/'Standard Curve'!$B$19),"")))</f>
        <v>#VALUE!</v>
      </c>
      <c r="I72" s="119" t="e">
        <f t="shared" ref="I72" si="229">AVERAGE(H71:H72)</f>
        <v>#VALUE!</v>
      </c>
      <c r="J72" s="119" t="e">
        <f t="shared" ref="J72" si="230">STDEV(H71:H72)</f>
        <v>#VALUE!</v>
      </c>
      <c r="K72" s="149"/>
      <c r="L72" s="149"/>
      <c r="M72" s="187"/>
      <c r="N72" s="151"/>
      <c r="O72" s="151"/>
      <c r="P72" s="151"/>
      <c r="Q72" s="151"/>
    </row>
    <row r="73" spans="1:17" x14ac:dyDescent="0.2">
      <c r="A73" s="185">
        <f>'Sample Metadata'!D37</f>
        <v>0</v>
      </c>
      <c r="B73" s="57" t="str">
        <f>IF(ISNUMBER('qPCR Run Entry'!G74),'qPCR Run Entry'!G74,"")</f>
        <v/>
      </c>
      <c r="C73" s="57" t="str">
        <f>IF(ISNUMBER('qPCR Run Entry'!R74),'qPCR Run Entry'!R74,"")</f>
        <v/>
      </c>
      <c r="D73" s="57" t="str">
        <f>IF(ISNUMBER('qPCR Run Entry'!AC74),'qPCR Run Entry'!AC74,"")</f>
        <v/>
      </c>
      <c r="E73" s="69" t="s">
        <v>79</v>
      </c>
      <c r="F73" s="69"/>
      <c r="G73" s="69"/>
      <c r="H73" s="119" t="e">
        <f>IF(E73="X",10^((B73-'Standard Curve'!$B$20)/'Standard Curve'!$B$19),IF(F73="X",10^((C73-'Standard Curve'!$B$20)/'Standard Curve'!$B$19),IF(G73="X",10^((D73-'Standard Curve'!$B$20)/'Standard Curve'!$B$19),"")))</f>
        <v>#VALUE!</v>
      </c>
      <c r="I73" s="119" t="e">
        <f t="shared" ref="I73" si="231">AVERAGE(H73:H74)</f>
        <v>#VALUE!</v>
      </c>
      <c r="J73" s="119" t="e">
        <f t="shared" ref="J73" si="232">STDEV(H73:H74)</f>
        <v>#VALUE!</v>
      </c>
      <c r="K73" s="149" t="e">
        <f t="shared" ref="K73" si="233">AVERAGE(H73:H74)</f>
        <v>#VALUE!</v>
      </c>
      <c r="L73" s="149" t="e">
        <f t="shared" ref="L73" si="234">STDEV(H73:H74)</f>
        <v>#VALUE!</v>
      </c>
      <c r="M73" s="187" t="e">
        <f t="shared" ref="M73" si="235">L73/K73</f>
        <v>#VALUE!</v>
      </c>
      <c r="N73" s="189" t="e">
        <f t="shared" ref="N73" si="236">IF(M73&lt;40%, "Pass","Fail")</f>
        <v>#VALUE!</v>
      </c>
      <c r="O73" s="151" t="str">
        <f>IF(OR(B73 &lt;'Outlier Check'!$L$2, B74 &lt;'Outlier Check'!$L$2, C73 &lt;'Outlier Check'!$L$2, C74 &lt;'Outlier Check'!$L$2, D73 &lt;'Outlier Check'!$L$2, D74 &lt;'Outlier Check'!$L$2), "Fail", "Pass")</f>
        <v>Pass</v>
      </c>
      <c r="P73" s="151" t="e">
        <f>IF(AND(H73&gt;=45, H74&gt;=45), "Pass", "Fail")</f>
        <v>#VALUE!</v>
      </c>
      <c r="Q73" s="151" t="e">
        <f>IF(AND(H73&gt;=100, H74&gt;=100), "Pass", "Fail")</f>
        <v>#VALUE!</v>
      </c>
    </row>
    <row r="74" spans="1:17" x14ac:dyDescent="0.2">
      <c r="A74" s="186"/>
      <c r="B74" s="57" t="str">
        <f>IF(ISNUMBER('qPCR Run Entry'!G75),'qPCR Run Entry'!G75,"")</f>
        <v/>
      </c>
      <c r="C74" s="57" t="str">
        <f>IF(ISNUMBER('qPCR Run Entry'!R75),'qPCR Run Entry'!R75,"")</f>
        <v/>
      </c>
      <c r="D74" s="57" t="str">
        <f>IF(ISNUMBER('qPCR Run Entry'!AC75),'qPCR Run Entry'!AC75,"")</f>
        <v/>
      </c>
      <c r="E74" s="69" t="s">
        <v>79</v>
      </c>
      <c r="F74" s="69"/>
      <c r="G74" s="69"/>
      <c r="H74" s="119" t="e">
        <f>IF(E74="X",10^((B74-'Standard Curve'!$B$20)/'Standard Curve'!$B$19),IF(F74="X",10^((C74-'Standard Curve'!$B$20)/'Standard Curve'!$B$19),IF(G74="X",10^((D74-'Standard Curve'!$B$20)/'Standard Curve'!$B$19),"")))</f>
        <v>#VALUE!</v>
      </c>
      <c r="I74" s="119" t="e">
        <f t="shared" ref="I74" si="237">AVERAGE(H73:H74)</f>
        <v>#VALUE!</v>
      </c>
      <c r="J74" s="119" t="e">
        <f t="shared" ref="J74" si="238">STDEV(H73:H74)</f>
        <v>#VALUE!</v>
      </c>
      <c r="K74" s="149"/>
      <c r="L74" s="149"/>
      <c r="M74" s="187"/>
      <c r="N74" s="151"/>
      <c r="O74" s="151"/>
      <c r="P74" s="151"/>
      <c r="Q74" s="151"/>
    </row>
    <row r="75" spans="1:17" x14ac:dyDescent="0.2">
      <c r="A75" s="185">
        <f>'Sample Metadata'!D38</f>
        <v>0</v>
      </c>
      <c r="B75" s="57" t="str">
        <f>IF(ISNUMBER('qPCR Run Entry'!G76),'qPCR Run Entry'!G76,"")</f>
        <v/>
      </c>
      <c r="C75" s="57" t="str">
        <f>IF(ISNUMBER('qPCR Run Entry'!R76),'qPCR Run Entry'!R76,"")</f>
        <v/>
      </c>
      <c r="D75" s="57" t="str">
        <f>IF(ISNUMBER('qPCR Run Entry'!AC76),'qPCR Run Entry'!AC76,"")</f>
        <v/>
      </c>
      <c r="E75" s="69" t="s">
        <v>79</v>
      </c>
      <c r="F75" s="69"/>
      <c r="G75" s="69"/>
      <c r="H75" s="119" t="e">
        <f>IF(E75="X",10^((B75-'Standard Curve'!$B$20)/'Standard Curve'!$B$19),IF(F75="X",10^((C75-'Standard Curve'!$B$20)/'Standard Curve'!$B$19),IF(G75="X",10^((D75-'Standard Curve'!$B$20)/'Standard Curve'!$B$19),"")))</f>
        <v>#VALUE!</v>
      </c>
      <c r="I75" s="119" t="e">
        <f t="shared" ref="I75" si="239">AVERAGE(H75:H76)</f>
        <v>#VALUE!</v>
      </c>
      <c r="J75" s="119" t="e">
        <f t="shared" ref="J75" si="240">STDEV(H75:H76)</f>
        <v>#VALUE!</v>
      </c>
      <c r="K75" s="149" t="e">
        <f t="shared" ref="K75" si="241">AVERAGE(H75:H76)</f>
        <v>#VALUE!</v>
      </c>
      <c r="L75" s="149" t="e">
        <f t="shared" ref="L75" si="242">STDEV(H75:H76)</f>
        <v>#VALUE!</v>
      </c>
      <c r="M75" s="187" t="e">
        <f t="shared" ref="M75" si="243">L75/K75</f>
        <v>#VALUE!</v>
      </c>
      <c r="N75" s="189" t="e">
        <f t="shared" ref="N75" si="244">IF(M75&lt;40%, "Pass","Fail")</f>
        <v>#VALUE!</v>
      </c>
      <c r="O75" s="151" t="str">
        <f>IF(OR(B75 &lt;'Outlier Check'!$L$2, B76 &lt;'Outlier Check'!$L$2, C75 &lt;'Outlier Check'!$L$2, C76 &lt;'Outlier Check'!$L$2, D75 &lt;'Outlier Check'!$L$2, D76 &lt;'Outlier Check'!$L$2), "Fail", "Pass")</f>
        <v>Pass</v>
      </c>
      <c r="P75" s="151" t="e">
        <f>IF(AND(H75&gt;=45, H76&gt;=45), "Pass", "Fail")</f>
        <v>#VALUE!</v>
      </c>
      <c r="Q75" s="151" t="e">
        <f>IF(AND(H75&gt;=100, H76&gt;=100), "Pass", "Fail")</f>
        <v>#VALUE!</v>
      </c>
    </row>
    <row r="76" spans="1:17" x14ac:dyDescent="0.2">
      <c r="A76" s="186"/>
      <c r="B76" s="57" t="str">
        <f>IF(ISNUMBER('qPCR Run Entry'!G77),'qPCR Run Entry'!G77,"")</f>
        <v/>
      </c>
      <c r="C76" s="57" t="str">
        <f>IF(ISNUMBER('qPCR Run Entry'!R77),'qPCR Run Entry'!R77,"")</f>
        <v/>
      </c>
      <c r="D76" s="57" t="str">
        <f>IF(ISNUMBER('qPCR Run Entry'!AC77),'qPCR Run Entry'!AC77,"")</f>
        <v/>
      </c>
      <c r="E76" s="69" t="s">
        <v>79</v>
      </c>
      <c r="F76" s="69"/>
      <c r="G76" s="69"/>
      <c r="H76" s="119" t="e">
        <f>IF(E76="X",10^((B76-'Standard Curve'!$B$20)/'Standard Curve'!$B$19),IF(F76="X",10^((C76-'Standard Curve'!$B$20)/'Standard Curve'!$B$19),IF(G76="X",10^((D76-'Standard Curve'!$B$20)/'Standard Curve'!$B$19),"")))</f>
        <v>#VALUE!</v>
      </c>
      <c r="I76" s="119" t="e">
        <f t="shared" ref="I76" si="245">AVERAGE(H75:H76)</f>
        <v>#VALUE!</v>
      </c>
      <c r="J76" s="119" t="e">
        <f t="shared" ref="J76" si="246">STDEV(H75:H76)</f>
        <v>#VALUE!</v>
      </c>
      <c r="K76" s="149"/>
      <c r="L76" s="149"/>
      <c r="M76" s="187"/>
      <c r="N76" s="151"/>
      <c r="O76" s="151"/>
      <c r="P76" s="151"/>
      <c r="Q76" s="151"/>
    </row>
    <row r="77" spans="1:17" x14ac:dyDescent="0.2">
      <c r="A77" s="185">
        <f>'Sample Metadata'!D39</f>
        <v>0</v>
      </c>
      <c r="B77" s="57" t="str">
        <f>IF(ISNUMBER('qPCR Run Entry'!G78),'qPCR Run Entry'!G78,"")</f>
        <v/>
      </c>
      <c r="C77" s="57" t="str">
        <f>IF(ISNUMBER('qPCR Run Entry'!R78),'qPCR Run Entry'!R78,"")</f>
        <v/>
      </c>
      <c r="D77" s="57" t="str">
        <f>IF(ISNUMBER('qPCR Run Entry'!AC78),'qPCR Run Entry'!AC78,"")</f>
        <v/>
      </c>
      <c r="E77" s="69" t="s">
        <v>79</v>
      </c>
      <c r="F77" s="69"/>
      <c r="G77" s="69"/>
      <c r="H77" s="119" t="e">
        <f>IF(E77="X",10^((B77-'Standard Curve'!$B$20)/'Standard Curve'!$B$19),IF(F77="X",10^((C77-'Standard Curve'!$B$20)/'Standard Curve'!$B$19),IF(G77="X",10^((D77-'Standard Curve'!$B$20)/'Standard Curve'!$B$19),"")))</f>
        <v>#VALUE!</v>
      </c>
      <c r="I77" s="119" t="e">
        <f t="shared" ref="I77" si="247">AVERAGE(H77:H78)</f>
        <v>#VALUE!</v>
      </c>
      <c r="J77" s="119" t="e">
        <f t="shared" ref="J77" si="248">STDEV(H77:H78)</f>
        <v>#VALUE!</v>
      </c>
      <c r="K77" s="149" t="e">
        <f t="shared" ref="K77" si="249">AVERAGE(H77:H78)</f>
        <v>#VALUE!</v>
      </c>
      <c r="L77" s="149" t="e">
        <f t="shared" ref="L77" si="250">STDEV(H77:H78)</f>
        <v>#VALUE!</v>
      </c>
      <c r="M77" s="187" t="e">
        <f t="shared" ref="M77" si="251">L77/K77</f>
        <v>#VALUE!</v>
      </c>
      <c r="N77" s="189" t="e">
        <f t="shared" ref="N77" si="252">IF(M77&lt;40%, "Pass","Fail")</f>
        <v>#VALUE!</v>
      </c>
      <c r="O77" s="151" t="str">
        <f>IF(OR(B77 &lt;'Outlier Check'!$L$2, B78 &lt;'Outlier Check'!$L$2, C77 &lt;'Outlier Check'!$L$2, C78 &lt;'Outlier Check'!$L$2, D77 &lt;'Outlier Check'!$L$2, D78 &lt;'Outlier Check'!$L$2), "Fail", "Pass")</f>
        <v>Pass</v>
      </c>
      <c r="P77" s="151" t="e">
        <f>IF(AND(H77&gt;=45, H78&gt;=45), "Pass", "Fail")</f>
        <v>#VALUE!</v>
      </c>
      <c r="Q77" s="151" t="e">
        <f>IF(AND(H77&gt;=100, H78&gt;=100), "Pass", "Fail")</f>
        <v>#VALUE!</v>
      </c>
    </row>
    <row r="78" spans="1:17" x14ac:dyDescent="0.2">
      <c r="A78" s="186"/>
      <c r="B78" s="57" t="str">
        <f>IF(ISNUMBER('qPCR Run Entry'!G79),'qPCR Run Entry'!G79,"")</f>
        <v/>
      </c>
      <c r="C78" s="57" t="str">
        <f>IF(ISNUMBER('qPCR Run Entry'!R79),'qPCR Run Entry'!R79,"")</f>
        <v/>
      </c>
      <c r="D78" s="57" t="str">
        <f>IF(ISNUMBER('qPCR Run Entry'!AC79),'qPCR Run Entry'!AC79,"")</f>
        <v/>
      </c>
      <c r="E78" s="69" t="s">
        <v>79</v>
      </c>
      <c r="F78" s="69"/>
      <c r="G78" s="69"/>
      <c r="H78" s="119" t="e">
        <f>IF(E78="X",10^((B78-'Standard Curve'!$B$20)/'Standard Curve'!$B$19),IF(F78="X",10^((C78-'Standard Curve'!$B$20)/'Standard Curve'!$B$19),IF(G78="X",10^((D78-'Standard Curve'!$B$20)/'Standard Curve'!$B$19),"")))</f>
        <v>#VALUE!</v>
      </c>
      <c r="I78" s="119" t="e">
        <f t="shared" ref="I78" si="253">AVERAGE(H77:H78)</f>
        <v>#VALUE!</v>
      </c>
      <c r="J78" s="119" t="e">
        <f t="shared" ref="J78" si="254">STDEV(H77:H78)</f>
        <v>#VALUE!</v>
      </c>
      <c r="K78" s="149"/>
      <c r="L78" s="149"/>
      <c r="M78" s="187"/>
      <c r="N78" s="151"/>
      <c r="O78" s="151"/>
      <c r="P78" s="151"/>
      <c r="Q78" s="151"/>
    </row>
    <row r="79" spans="1:17" x14ac:dyDescent="0.2">
      <c r="A79" s="185">
        <f>'Sample Metadata'!D40</f>
        <v>0</v>
      </c>
      <c r="B79" s="57" t="str">
        <f>IF(ISNUMBER('qPCR Run Entry'!G80),'qPCR Run Entry'!G80,"")</f>
        <v/>
      </c>
      <c r="C79" s="57" t="str">
        <f>IF(ISNUMBER('qPCR Run Entry'!R80),'qPCR Run Entry'!R80,"")</f>
        <v/>
      </c>
      <c r="D79" s="57" t="str">
        <f>IF(ISNUMBER('qPCR Run Entry'!AC80),'qPCR Run Entry'!AC80,"")</f>
        <v/>
      </c>
      <c r="E79" s="69" t="s">
        <v>79</v>
      </c>
      <c r="F79" s="69"/>
      <c r="G79" s="69"/>
      <c r="H79" s="119" t="e">
        <f>IF(E79="X",10^((B79-'Standard Curve'!$B$20)/'Standard Curve'!$B$19),IF(F79="X",10^((C79-'Standard Curve'!$B$20)/'Standard Curve'!$B$19),IF(G79="X",10^((D79-'Standard Curve'!$B$20)/'Standard Curve'!$B$19),"")))</f>
        <v>#VALUE!</v>
      </c>
      <c r="I79" s="119" t="e">
        <f t="shared" ref="I79" si="255">AVERAGE(H79:H80)</f>
        <v>#VALUE!</v>
      </c>
      <c r="J79" s="119" t="e">
        <f t="shared" ref="J79" si="256">STDEV(H79:H80)</f>
        <v>#VALUE!</v>
      </c>
      <c r="K79" s="149" t="e">
        <f t="shared" ref="K79" si="257">AVERAGE(H79:H80)</f>
        <v>#VALUE!</v>
      </c>
      <c r="L79" s="149" t="e">
        <f t="shared" ref="L79" si="258">STDEV(H79:H80)</f>
        <v>#VALUE!</v>
      </c>
      <c r="M79" s="187" t="e">
        <f t="shared" ref="M79" si="259">L79/K79</f>
        <v>#VALUE!</v>
      </c>
      <c r="N79" s="189" t="e">
        <f t="shared" ref="N79" si="260">IF(M79&lt;40%, "Pass","Fail")</f>
        <v>#VALUE!</v>
      </c>
      <c r="O79" s="151" t="str">
        <f>IF(OR(B79 &lt;'Outlier Check'!$L$2, B80 &lt;'Outlier Check'!$L$2, C79 &lt;'Outlier Check'!$L$2, C80 &lt;'Outlier Check'!$L$2, D79 &lt;'Outlier Check'!$L$2, D80 &lt;'Outlier Check'!$L$2), "Fail", "Pass")</f>
        <v>Pass</v>
      </c>
      <c r="P79" s="151" t="e">
        <f>IF(AND(H79&gt;=45, H80&gt;=45), "Pass", "Fail")</f>
        <v>#VALUE!</v>
      </c>
      <c r="Q79" s="151" t="e">
        <f>IF(AND(H79&gt;=100, H80&gt;=100), "Pass", "Fail")</f>
        <v>#VALUE!</v>
      </c>
    </row>
    <row r="80" spans="1:17" x14ac:dyDescent="0.2">
      <c r="A80" s="186"/>
      <c r="B80" s="57" t="str">
        <f>IF(ISNUMBER('qPCR Run Entry'!G81),'qPCR Run Entry'!G81,"")</f>
        <v/>
      </c>
      <c r="C80" s="57" t="str">
        <f>IF(ISNUMBER('qPCR Run Entry'!R81),'qPCR Run Entry'!R81,"")</f>
        <v/>
      </c>
      <c r="D80" s="57" t="str">
        <f>IF(ISNUMBER('qPCR Run Entry'!AC81),'qPCR Run Entry'!AC81,"")</f>
        <v/>
      </c>
      <c r="E80" s="69" t="s">
        <v>79</v>
      </c>
      <c r="F80" s="69"/>
      <c r="G80" s="69"/>
      <c r="H80" s="119" t="e">
        <f>IF(E80="X",10^((B80-'Standard Curve'!$B$20)/'Standard Curve'!$B$19),IF(F80="X",10^((C80-'Standard Curve'!$B$20)/'Standard Curve'!$B$19),IF(G80="X",10^((D80-'Standard Curve'!$B$20)/'Standard Curve'!$B$19),"")))</f>
        <v>#VALUE!</v>
      </c>
      <c r="I80" s="119" t="e">
        <f t="shared" ref="I80" si="261">AVERAGE(H79:H80)</f>
        <v>#VALUE!</v>
      </c>
      <c r="J80" s="119" t="e">
        <f t="shared" ref="J80" si="262">STDEV(H79:H80)</f>
        <v>#VALUE!</v>
      </c>
      <c r="K80" s="149"/>
      <c r="L80" s="149"/>
      <c r="M80" s="187"/>
      <c r="N80" s="151"/>
      <c r="O80" s="151"/>
      <c r="P80" s="151"/>
      <c r="Q80" s="151"/>
    </row>
    <row r="81" spans="1:17" x14ac:dyDescent="0.2">
      <c r="A81" s="185">
        <f>'Sample Metadata'!D41</f>
        <v>0</v>
      </c>
      <c r="B81" s="57" t="str">
        <f>IF(ISNUMBER('qPCR Run Entry'!G82),'qPCR Run Entry'!G82,"")</f>
        <v/>
      </c>
      <c r="C81" s="57" t="str">
        <f>IF(ISNUMBER('qPCR Run Entry'!R82),'qPCR Run Entry'!R82,"")</f>
        <v/>
      </c>
      <c r="D81" s="57" t="str">
        <f>IF(ISNUMBER('qPCR Run Entry'!AC82),'qPCR Run Entry'!AC82,"")</f>
        <v/>
      </c>
      <c r="E81" s="69" t="s">
        <v>79</v>
      </c>
      <c r="F81" s="69"/>
      <c r="G81" s="69"/>
      <c r="H81" s="119" t="e">
        <f>IF(E81="X",10^((B81-'Standard Curve'!$B$20)/'Standard Curve'!$B$19),IF(F81="X",10^((C81-'Standard Curve'!$B$20)/'Standard Curve'!$B$19),IF(G81="X",10^((D81-'Standard Curve'!$B$20)/'Standard Curve'!$B$19),"")))</f>
        <v>#VALUE!</v>
      </c>
      <c r="I81" s="119" t="e">
        <f t="shared" ref="I81" si="263">AVERAGE(H81:H82)</f>
        <v>#VALUE!</v>
      </c>
      <c r="J81" s="119" t="e">
        <f t="shared" ref="J81" si="264">STDEV(H81:H82)</f>
        <v>#VALUE!</v>
      </c>
      <c r="K81" s="149" t="e">
        <f t="shared" ref="K81" si="265">AVERAGE(H81:H82)</f>
        <v>#VALUE!</v>
      </c>
      <c r="L81" s="149" t="e">
        <f t="shared" ref="L81" si="266">STDEV(H81:H82)</f>
        <v>#VALUE!</v>
      </c>
      <c r="M81" s="187" t="e">
        <f t="shared" ref="M81" si="267">L81/K81</f>
        <v>#VALUE!</v>
      </c>
      <c r="N81" s="189" t="e">
        <f t="shared" ref="N81" si="268">IF(M81&lt;40%, "Pass","Fail")</f>
        <v>#VALUE!</v>
      </c>
      <c r="O81" s="151" t="str">
        <f>IF(OR(B81 &lt;'Outlier Check'!$L$2, B82 &lt;'Outlier Check'!$L$2, C81 &lt;'Outlier Check'!$L$2, C82 &lt;'Outlier Check'!$L$2, D81 &lt;'Outlier Check'!$L$2, D82 &lt;'Outlier Check'!$L$2), "Fail", "Pass")</f>
        <v>Pass</v>
      </c>
      <c r="P81" s="151" t="e">
        <f>IF(AND(H81&gt;=45, H82&gt;=45), "Pass", "Fail")</f>
        <v>#VALUE!</v>
      </c>
      <c r="Q81" s="151" t="e">
        <f>IF(AND(H81&gt;=100, H82&gt;=100), "Pass", "Fail")</f>
        <v>#VALUE!</v>
      </c>
    </row>
    <row r="82" spans="1:17" x14ac:dyDescent="0.2">
      <c r="A82" s="186"/>
      <c r="B82" s="57" t="str">
        <f>IF(ISNUMBER('qPCR Run Entry'!G83),'qPCR Run Entry'!G83,"")</f>
        <v/>
      </c>
      <c r="C82" s="57" t="str">
        <f>IF(ISNUMBER('qPCR Run Entry'!R83),'qPCR Run Entry'!R83,"")</f>
        <v/>
      </c>
      <c r="D82" s="57" t="str">
        <f>IF(ISNUMBER('qPCR Run Entry'!AC83),'qPCR Run Entry'!AC83,"")</f>
        <v/>
      </c>
      <c r="E82" s="69" t="s">
        <v>79</v>
      </c>
      <c r="F82" s="69"/>
      <c r="G82" s="69"/>
      <c r="H82" s="119" t="e">
        <f>IF(E82="X",10^((B82-'Standard Curve'!$B$20)/'Standard Curve'!$B$19),IF(F82="X",10^((C82-'Standard Curve'!$B$20)/'Standard Curve'!$B$19),IF(G82="X",10^((D82-'Standard Curve'!$B$20)/'Standard Curve'!$B$19),"")))</f>
        <v>#VALUE!</v>
      </c>
      <c r="I82" s="119" t="e">
        <f t="shared" ref="I82" si="269">AVERAGE(H81:H82)</f>
        <v>#VALUE!</v>
      </c>
      <c r="J82" s="119" t="e">
        <f t="shared" ref="J82" si="270">STDEV(H81:H82)</f>
        <v>#VALUE!</v>
      </c>
      <c r="K82" s="149"/>
      <c r="L82" s="149"/>
      <c r="M82" s="187"/>
      <c r="N82" s="151"/>
      <c r="O82" s="151"/>
      <c r="P82" s="151"/>
      <c r="Q82" s="151"/>
    </row>
    <row r="83" spans="1:17" x14ac:dyDescent="0.2">
      <c r="A83" s="185">
        <f>'Sample Metadata'!D42</f>
        <v>0</v>
      </c>
      <c r="B83" s="57" t="str">
        <f>IF(ISNUMBER('qPCR Run Entry'!G84),'qPCR Run Entry'!G84,"")</f>
        <v/>
      </c>
      <c r="C83" s="57" t="str">
        <f>IF(ISNUMBER('qPCR Run Entry'!R84),'qPCR Run Entry'!R84,"")</f>
        <v/>
      </c>
      <c r="D83" s="57" t="str">
        <f>IF(ISNUMBER('qPCR Run Entry'!AC84),'qPCR Run Entry'!AC84,"")</f>
        <v/>
      </c>
      <c r="E83" s="69" t="s">
        <v>79</v>
      </c>
      <c r="F83" s="69"/>
      <c r="G83" s="69"/>
      <c r="H83" s="119" t="e">
        <f>IF(E83="X",10^((B83-'Standard Curve'!$B$20)/'Standard Curve'!$B$19),IF(F83="X",10^((C83-'Standard Curve'!$B$20)/'Standard Curve'!$B$19),IF(G83="X",10^((D83-'Standard Curve'!$B$20)/'Standard Curve'!$B$19),"")))</f>
        <v>#VALUE!</v>
      </c>
      <c r="I83" s="119" t="e">
        <f t="shared" ref="I83" si="271">AVERAGE(H83:H84)</f>
        <v>#VALUE!</v>
      </c>
      <c r="J83" s="119" t="e">
        <f t="shared" ref="J83" si="272">STDEV(H83:H84)</f>
        <v>#VALUE!</v>
      </c>
      <c r="K83" s="149" t="e">
        <f t="shared" ref="K83" si="273">AVERAGE(H83:H84)</f>
        <v>#VALUE!</v>
      </c>
      <c r="L83" s="149" t="e">
        <f t="shared" ref="L83" si="274">STDEV(H83:H84)</f>
        <v>#VALUE!</v>
      </c>
      <c r="M83" s="187" t="e">
        <f t="shared" ref="M83" si="275">L83/K83</f>
        <v>#VALUE!</v>
      </c>
      <c r="N83" s="189" t="e">
        <f t="shared" ref="N83" si="276">IF(M83&lt;40%, "Pass","Fail")</f>
        <v>#VALUE!</v>
      </c>
      <c r="O83" s="151" t="str">
        <f>IF(OR(B83 &lt;'Outlier Check'!$L$2, B84 &lt;'Outlier Check'!$L$2, C83 &lt;'Outlier Check'!$L$2, C84 &lt;'Outlier Check'!$L$2, D83 &lt;'Outlier Check'!$L$2, D84 &lt;'Outlier Check'!$L$2), "Fail", "Pass")</f>
        <v>Pass</v>
      </c>
      <c r="P83" s="151" t="e">
        <f>IF(AND(H83&gt;=45, H84&gt;=45), "Pass", "Fail")</f>
        <v>#VALUE!</v>
      </c>
      <c r="Q83" s="151" t="e">
        <f>IF(AND(H83&gt;=100, H84&gt;=100), "Pass", "Fail")</f>
        <v>#VALUE!</v>
      </c>
    </row>
    <row r="84" spans="1:17" x14ac:dyDescent="0.2">
      <c r="A84" s="186"/>
      <c r="B84" s="57" t="str">
        <f>IF(ISNUMBER('qPCR Run Entry'!G85),'qPCR Run Entry'!G85,"")</f>
        <v/>
      </c>
      <c r="C84" s="57" t="str">
        <f>IF(ISNUMBER('qPCR Run Entry'!R85),'qPCR Run Entry'!R85,"")</f>
        <v/>
      </c>
      <c r="D84" s="57" t="str">
        <f>IF(ISNUMBER('qPCR Run Entry'!AC85),'qPCR Run Entry'!AC85,"")</f>
        <v/>
      </c>
      <c r="E84" s="69" t="s">
        <v>79</v>
      </c>
      <c r="F84" s="69"/>
      <c r="G84" s="69"/>
      <c r="H84" s="119" t="e">
        <f>IF(E84="X",10^((B84-'Standard Curve'!$B$20)/'Standard Curve'!$B$19),IF(F84="X",10^((C84-'Standard Curve'!$B$20)/'Standard Curve'!$B$19),IF(G84="X",10^((D84-'Standard Curve'!$B$20)/'Standard Curve'!$B$19),"")))</f>
        <v>#VALUE!</v>
      </c>
      <c r="I84" s="119" t="e">
        <f t="shared" ref="I84" si="277">AVERAGE(H83:H84)</f>
        <v>#VALUE!</v>
      </c>
      <c r="J84" s="119" t="e">
        <f t="shared" ref="J84" si="278">STDEV(H83:H84)</f>
        <v>#VALUE!</v>
      </c>
      <c r="K84" s="149"/>
      <c r="L84" s="149"/>
      <c r="M84" s="187"/>
      <c r="N84" s="151"/>
      <c r="O84" s="151"/>
      <c r="P84" s="151"/>
      <c r="Q84" s="151"/>
    </row>
    <row r="85" spans="1:17" x14ac:dyDescent="0.2">
      <c r="A85" s="185">
        <f>'Sample Metadata'!D43</f>
        <v>0</v>
      </c>
      <c r="B85" s="57" t="str">
        <f>IF(ISNUMBER('qPCR Run Entry'!G86),'qPCR Run Entry'!G86,"")</f>
        <v/>
      </c>
      <c r="C85" s="57" t="str">
        <f>IF(ISNUMBER('qPCR Run Entry'!R86),'qPCR Run Entry'!R86,"")</f>
        <v/>
      </c>
      <c r="D85" s="57" t="str">
        <f>IF(ISNUMBER('qPCR Run Entry'!AC86),'qPCR Run Entry'!AC86,"")</f>
        <v/>
      </c>
      <c r="E85" s="69" t="s">
        <v>79</v>
      </c>
      <c r="F85" s="69"/>
      <c r="G85" s="69"/>
      <c r="H85" s="119" t="e">
        <f>IF(E85="X",10^((B85-'Standard Curve'!$B$20)/'Standard Curve'!$B$19),IF(F85="X",10^((C85-'Standard Curve'!$B$20)/'Standard Curve'!$B$19),IF(G85="X",10^((D85-'Standard Curve'!$B$20)/'Standard Curve'!$B$19),"")))</f>
        <v>#VALUE!</v>
      </c>
      <c r="I85" s="119" t="e">
        <f t="shared" ref="I85" si="279">AVERAGE(H85:H86)</f>
        <v>#VALUE!</v>
      </c>
      <c r="J85" s="119" t="e">
        <f t="shared" ref="J85" si="280">STDEV(H85:H86)</f>
        <v>#VALUE!</v>
      </c>
      <c r="K85" s="149" t="e">
        <f t="shared" ref="K85" si="281">AVERAGE(H85:H86)</f>
        <v>#VALUE!</v>
      </c>
      <c r="L85" s="149" t="e">
        <f t="shared" ref="L85" si="282">STDEV(H85:H86)</f>
        <v>#VALUE!</v>
      </c>
      <c r="M85" s="187" t="e">
        <f t="shared" ref="M85" si="283">L85/K85</f>
        <v>#VALUE!</v>
      </c>
      <c r="N85" s="189" t="e">
        <f t="shared" ref="N85" si="284">IF(M85&lt;40%, "Pass","Fail")</f>
        <v>#VALUE!</v>
      </c>
      <c r="O85" s="151" t="str">
        <f>IF(OR(B85 &lt;'Outlier Check'!$L$2, B86 &lt;'Outlier Check'!$L$2, C85 &lt;'Outlier Check'!$L$2, C86 &lt;'Outlier Check'!$L$2, D85 &lt;'Outlier Check'!$L$2, D86 &lt;'Outlier Check'!$L$2), "Fail", "Pass")</f>
        <v>Pass</v>
      </c>
      <c r="P85" s="151" t="e">
        <f>IF(AND(H85&gt;=45, H86&gt;=45), "Pass", "Fail")</f>
        <v>#VALUE!</v>
      </c>
      <c r="Q85" s="151" t="e">
        <f>IF(AND(H85&gt;=100, H86&gt;=100), "Pass", "Fail")</f>
        <v>#VALUE!</v>
      </c>
    </row>
    <row r="86" spans="1:17" x14ac:dyDescent="0.2">
      <c r="A86" s="186"/>
      <c r="B86" s="57" t="str">
        <f>IF(ISNUMBER('qPCR Run Entry'!G87),'qPCR Run Entry'!G87,"")</f>
        <v/>
      </c>
      <c r="C86" s="57" t="str">
        <f>IF(ISNUMBER('qPCR Run Entry'!R87),'qPCR Run Entry'!R87,"")</f>
        <v/>
      </c>
      <c r="D86" s="57" t="str">
        <f>IF(ISNUMBER('qPCR Run Entry'!AC87),'qPCR Run Entry'!AC87,"")</f>
        <v/>
      </c>
      <c r="E86" s="69" t="s">
        <v>79</v>
      </c>
      <c r="F86" s="69"/>
      <c r="G86" s="69"/>
      <c r="H86" s="119" t="e">
        <f>IF(E86="X",10^((B86-'Standard Curve'!$B$20)/'Standard Curve'!$B$19),IF(F86="X",10^((C86-'Standard Curve'!$B$20)/'Standard Curve'!$B$19),IF(G86="X",10^((D86-'Standard Curve'!$B$20)/'Standard Curve'!$B$19),"")))</f>
        <v>#VALUE!</v>
      </c>
      <c r="I86" s="119" t="e">
        <f t="shared" ref="I86" si="285">AVERAGE(H85:H86)</f>
        <v>#VALUE!</v>
      </c>
      <c r="J86" s="119" t="e">
        <f t="shared" ref="J86" si="286">STDEV(H85:H86)</f>
        <v>#VALUE!</v>
      </c>
      <c r="K86" s="149"/>
      <c r="L86" s="149"/>
      <c r="M86" s="187"/>
      <c r="N86" s="151"/>
      <c r="O86" s="151"/>
      <c r="P86" s="151"/>
      <c r="Q86" s="151"/>
    </row>
    <row r="87" spans="1:17" x14ac:dyDescent="0.2">
      <c r="H87" s="119"/>
      <c r="I87" s="119"/>
      <c r="J87" s="119"/>
    </row>
  </sheetData>
  <mergeCells count="339">
    <mergeCell ref="P83:P84"/>
    <mergeCell ref="Q83:Q84"/>
    <mergeCell ref="P85:P86"/>
    <mergeCell ref="Q85:Q86"/>
    <mergeCell ref="P73:P74"/>
    <mergeCell ref="Q73:Q74"/>
    <mergeCell ref="P75:P76"/>
    <mergeCell ref="Q75:Q76"/>
    <mergeCell ref="P77:P78"/>
    <mergeCell ref="Q77:Q78"/>
    <mergeCell ref="P79:P80"/>
    <mergeCell ref="Q79:Q80"/>
    <mergeCell ref="P81:P82"/>
    <mergeCell ref="Q81:Q82"/>
    <mergeCell ref="P63:P64"/>
    <mergeCell ref="Q63:Q64"/>
    <mergeCell ref="P65:P66"/>
    <mergeCell ref="Q65:Q66"/>
    <mergeCell ref="P67:P68"/>
    <mergeCell ref="Q67:Q68"/>
    <mergeCell ref="P69:P70"/>
    <mergeCell ref="Q69:Q70"/>
    <mergeCell ref="P71:P72"/>
    <mergeCell ref="Q71:Q72"/>
    <mergeCell ref="P53:P54"/>
    <mergeCell ref="Q53:Q54"/>
    <mergeCell ref="P55:P56"/>
    <mergeCell ref="Q55:Q56"/>
    <mergeCell ref="P57:P58"/>
    <mergeCell ref="Q57:Q58"/>
    <mergeCell ref="P59:P60"/>
    <mergeCell ref="Q59:Q60"/>
    <mergeCell ref="P61:P62"/>
    <mergeCell ref="Q61:Q62"/>
    <mergeCell ref="P43:P44"/>
    <mergeCell ref="Q43:Q44"/>
    <mergeCell ref="P45:P46"/>
    <mergeCell ref="Q45:Q46"/>
    <mergeCell ref="P47:P48"/>
    <mergeCell ref="Q47:Q48"/>
    <mergeCell ref="P49:P50"/>
    <mergeCell ref="Q49:Q50"/>
    <mergeCell ref="P51:P52"/>
    <mergeCell ref="Q51:Q52"/>
    <mergeCell ref="P33:P34"/>
    <mergeCell ref="Q33:Q34"/>
    <mergeCell ref="P35:P36"/>
    <mergeCell ref="Q35:Q36"/>
    <mergeCell ref="P37:P38"/>
    <mergeCell ref="Q37:Q38"/>
    <mergeCell ref="P39:P40"/>
    <mergeCell ref="Q39:Q40"/>
    <mergeCell ref="P41:P42"/>
    <mergeCell ref="Q41:Q42"/>
    <mergeCell ref="P23:P24"/>
    <mergeCell ref="Q23:Q24"/>
    <mergeCell ref="P25:P26"/>
    <mergeCell ref="Q25:Q26"/>
    <mergeCell ref="P27:P28"/>
    <mergeCell ref="Q27:Q28"/>
    <mergeCell ref="P29:P30"/>
    <mergeCell ref="Q29:Q30"/>
    <mergeCell ref="P31:P32"/>
    <mergeCell ref="Q31:Q32"/>
    <mergeCell ref="P13:P14"/>
    <mergeCell ref="Q13:Q14"/>
    <mergeCell ref="P15:P16"/>
    <mergeCell ref="Q15:Q16"/>
    <mergeCell ref="P17:P18"/>
    <mergeCell ref="Q17:Q18"/>
    <mergeCell ref="P19:P20"/>
    <mergeCell ref="Q19:Q20"/>
    <mergeCell ref="P21:P22"/>
    <mergeCell ref="Q21:Q22"/>
    <mergeCell ref="P3:P4"/>
    <mergeCell ref="Q3:Q4"/>
    <mergeCell ref="P5:P6"/>
    <mergeCell ref="Q5:Q6"/>
    <mergeCell ref="P7:P8"/>
    <mergeCell ref="Q7:Q8"/>
    <mergeCell ref="P9:P10"/>
    <mergeCell ref="Q9:Q10"/>
    <mergeCell ref="P11:P12"/>
    <mergeCell ref="Q11:Q12"/>
    <mergeCell ref="O75:O76"/>
    <mergeCell ref="O77:O78"/>
    <mergeCell ref="O79:O80"/>
    <mergeCell ref="O81:O82"/>
    <mergeCell ref="O83:O84"/>
    <mergeCell ref="O85:O8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N75:N76"/>
    <mergeCell ref="N77:N78"/>
    <mergeCell ref="N79:N80"/>
    <mergeCell ref="N81:N82"/>
    <mergeCell ref="N83:N84"/>
    <mergeCell ref="N85:N8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K85:K86"/>
    <mergeCell ref="L85:L86"/>
    <mergeCell ref="M85:M86"/>
    <mergeCell ref="K79:K80"/>
    <mergeCell ref="L79:L80"/>
    <mergeCell ref="M79:M80"/>
    <mergeCell ref="K81:K82"/>
    <mergeCell ref="L81:L82"/>
    <mergeCell ref="M81:M82"/>
    <mergeCell ref="K83:K84"/>
    <mergeCell ref="L83:L84"/>
    <mergeCell ref="M83:M84"/>
    <mergeCell ref="K73:K74"/>
    <mergeCell ref="L73:L74"/>
    <mergeCell ref="M73:M74"/>
    <mergeCell ref="K75:K76"/>
    <mergeCell ref="L75:L76"/>
    <mergeCell ref="M75:M76"/>
    <mergeCell ref="K77:K78"/>
    <mergeCell ref="L77:L78"/>
    <mergeCell ref="M77:M78"/>
    <mergeCell ref="K67:K68"/>
    <mergeCell ref="L67:L68"/>
    <mergeCell ref="M67:M68"/>
    <mergeCell ref="K69:K70"/>
    <mergeCell ref="L69:L70"/>
    <mergeCell ref="M69:M70"/>
    <mergeCell ref="K71:K72"/>
    <mergeCell ref="L71:L72"/>
    <mergeCell ref="M71:M72"/>
    <mergeCell ref="A85:A8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K63:K64"/>
    <mergeCell ref="L63:L64"/>
    <mergeCell ref="M63:M64"/>
    <mergeCell ref="K65:K66"/>
    <mergeCell ref="L65:L66"/>
    <mergeCell ref="M65:M66"/>
    <mergeCell ref="K59:K60"/>
    <mergeCell ref="L59:L60"/>
    <mergeCell ref="M59:M60"/>
    <mergeCell ref="K61:K62"/>
    <mergeCell ref="L61:L62"/>
    <mergeCell ref="M61:M62"/>
    <mergeCell ref="K55:K56"/>
    <mergeCell ref="L55:L56"/>
    <mergeCell ref="M55:M56"/>
    <mergeCell ref="K57:K58"/>
    <mergeCell ref="L57:L58"/>
    <mergeCell ref="M57:M58"/>
    <mergeCell ref="K51:K52"/>
    <mergeCell ref="L51:L52"/>
    <mergeCell ref="M51:M52"/>
    <mergeCell ref="K53:K54"/>
    <mergeCell ref="L53:L54"/>
    <mergeCell ref="M53:M54"/>
    <mergeCell ref="K47:K48"/>
    <mergeCell ref="L47:L48"/>
    <mergeCell ref="M47:M48"/>
    <mergeCell ref="K49:K50"/>
    <mergeCell ref="L49:L50"/>
    <mergeCell ref="M49:M50"/>
    <mergeCell ref="K43:K44"/>
    <mergeCell ref="L43:L44"/>
    <mergeCell ref="M43:M44"/>
    <mergeCell ref="K45:K46"/>
    <mergeCell ref="L45:L46"/>
    <mergeCell ref="M45:M46"/>
    <mergeCell ref="K39:K40"/>
    <mergeCell ref="L39:L40"/>
    <mergeCell ref="M39:M40"/>
    <mergeCell ref="K41:K42"/>
    <mergeCell ref="L41:L42"/>
    <mergeCell ref="M41:M42"/>
    <mergeCell ref="K35:K36"/>
    <mergeCell ref="L35:L36"/>
    <mergeCell ref="M35:M36"/>
    <mergeCell ref="K37:K38"/>
    <mergeCell ref="L37:L38"/>
    <mergeCell ref="M37:M38"/>
    <mergeCell ref="K31:K32"/>
    <mergeCell ref="L31:L32"/>
    <mergeCell ref="M31:M32"/>
    <mergeCell ref="K33:K34"/>
    <mergeCell ref="L33:L34"/>
    <mergeCell ref="M33:M34"/>
    <mergeCell ref="K27:K28"/>
    <mergeCell ref="L27:L28"/>
    <mergeCell ref="M27:M28"/>
    <mergeCell ref="K29:K30"/>
    <mergeCell ref="L29:L30"/>
    <mergeCell ref="M29:M30"/>
    <mergeCell ref="K23:K24"/>
    <mergeCell ref="L23:L24"/>
    <mergeCell ref="M23:M24"/>
    <mergeCell ref="K25:K26"/>
    <mergeCell ref="L25:L26"/>
    <mergeCell ref="M25:M26"/>
    <mergeCell ref="K19:K20"/>
    <mergeCell ref="L19:L20"/>
    <mergeCell ref="M19:M20"/>
    <mergeCell ref="K21:K22"/>
    <mergeCell ref="L21:L22"/>
    <mergeCell ref="M21:M22"/>
    <mergeCell ref="K15:K16"/>
    <mergeCell ref="L15:L16"/>
    <mergeCell ref="M15:M16"/>
    <mergeCell ref="K17:K18"/>
    <mergeCell ref="L17:L18"/>
    <mergeCell ref="M17:M18"/>
    <mergeCell ref="K11:K12"/>
    <mergeCell ref="L11:L12"/>
    <mergeCell ref="M11:M12"/>
    <mergeCell ref="K13:K14"/>
    <mergeCell ref="L13:L14"/>
    <mergeCell ref="M13:M14"/>
    <mergeCell ref="K7:K8"/>
    <mergeCell ref="L7:L8"/>
    <mergeCell ref="M7:M8"/>
    <mergeCell ref="K9:K10"/>
    <mergeCell ref="L9:L10"/>
    <mergeCell ref="M9:M10"/>
    <mergeCell ref="B1:D1"/>
    <mergeCell ref="K3:K4"/>
    <mergeCell ref="L3:L4"/>
    <mergeCell ref="M3:M4"/>
    <mergeCell ref="K5:K6"/>
    <mergeCell ref="L5:L6"/>
    <mergeCell ref="M5:M6"/>
    <mergeCell ref="H1:M1"/>
    <mergeCell ref="E1:G1"/>
    <mergeCell ref="A57:A58"/>
    <mergeCell ref="A59:A60"/>
    <mergeCell ref="A61:A62"/>
    <mergeCell ref="A63:A64"/>
    <mergeCell ref="A65:A66"/>
    <mergeCell ref="A33:A34"/>
    <mergeCell ref="A35:A36"/>
    <mergeCell ref="A37:A38"/>
    <mergeCell ref="A39:A40"/>
    <mergeCell ref="A41:A42"/>
    <mergeCell ref="A43:A44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49:A50"/>
    <mergeCell ref="A51:A52"/>
    <mergeCell ref="A53:A54"/>
    <mergeCell ref="A55:A56"/>
    <mergeCell ref="A45:A46"/>
    <mergeCell ref="A47:A48"/>
    <mergeCell ref="A25:A26"/>
    <mergeCell ref="A27:A28"/>
    <mergeCell ref="A29:A30"/>
    <mergeCell ref="A31:A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FDA9-0BB9-CE4C-8085-5FAA15A52F93}">
  <dimension ref="A1:L501"/>
  <sheetViews>
    <sheetView tabSelected="1" workbookViewId="0">
      <selection activeCell="K2" sqref="K2"/>
    </sheetView>
  </sheetViews>
  <sheetFormatPr baseColWidth="10" defaultRowHeight="16" x14ac:dyDescent="0.2"/>
  <cols>
    <col min="1" max="1" width="22.1640625" bestFit="1" customWidth="1"/>
    <col min="2" max="2" width="32.1640625" bestFit="1" customWidth="1"/>
    <col min="3" max="3" width="12.83203125" bestFit="1" customWidth="1"/>
    <col min="4" max="5" width="15.6640625" bestFit="1" customWidth="1"/>
    <col min="6" max="6" width="21.1640625" bestFit="1" customWidth="1"/>
    <col min="7" max="8" width="21.1640625" customWidth="1"/>
    <col min="9" max="9" width="13.6640625" bestFit="1" customWidth="1"/>
    <col min="10" max="10" width="29" bestFit="1" customWidth="1"/>
    <col min="11" max="11" width="15.33203125" customWidth="1"/>
    <col min="12" max="12" width="14.5" customWidth="1"/>
    <col min="13" max="13" width="13.33203125" customWidth="1"/>
  </cols>
  <sheetData>
    <row r="1" spans="1:12" x14ac:dyDescent="0.2">
      <c r="A1" t="s">
        <v>70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94</v>
      </c>
      <c r="J1" t="s">
        <v>98</v>
      </c>
      <c r="K1" t="s">
        <v>99</v>
      </c>
      <c r="L1" t="s">
        <v>100</v>
      </c>
    </row>
    <row r="2" spans="1:12" x14ac:dyDescent="0.2">
      <c r="B2" s="133" t="str">
        <f>IF(COUNTIF('Outlier Check'!O2:O100,"FAIL"),"FAIL","Pass")</f>
        <v>Pass</v>
      </c>
      <c r="C2" s="133" t="str">
        <f>IF(COUNTIF('Outlier Check'!P2:P100,"FAIL"),"FAIL","Pass")</f>
        <v>Pass</v>
      </c>
      <c r="D2" s="133" t="str">
        <f>IF(COUNTIF('Outlier Check'!Q2:Q100,"FAIL"),"FAIL","Pass")</f>
        <v>Pass</v>
      </c>
      <c r="E2" s="133" t="str">
        <f>IF(COUNTIF('Outlier Check'!R2:R100,"FAIL"),"FAIL","Pass")</f>
        <v>Pass</v>
      </c>
      <c r="F2" s="133" t="str">
        <f>IF(COUNTIF(NTC!I2:I100,"FAIL"),"FAIL","Pass")</f>
        <v>Pass</v>
      </c>
      <c r="G2" s="133" t="str">
        <f>IF(COUNTIF('Negative Controls'!I2:I101,"FAIL"),"FAIL","Pass")</f>
        <v>Pass</v>
      </c>
      <c r="H2" s="133" t="str">
        <f>IF(COUNTIF(IAC!1:1048576,"FAIL"),"FAIL","Pass")</f>
        <v>Pass</v>
      </c>
      <c r="I2" s="133" t="str">
        <f>IF(COUNTIF('Sample Calculation'!M3:M202,"&gt;40%"),"FAIL","Pass")</f>
        <v>Pass</v>
      </c>
      <c r="J2" s="133" t="str">
        <f>IF(COUNTIF('Sample Calculation'!O3:O202,"Fail"),"FAIL","Pass")</f>
        <v>Pass</v>
      </c>
      <c r="K2" s="133" t="str">
        <f>IF(COUNTIF('Sample Calculation'!P3:P202,"Fail"),"FAIL","Pass")</f>
        <v>Pass</v>
      </c>
      <c r="L2" s="133" t="str">
        <f>IF(COUNTIF('Sample Calculation'!Q3:Q202,"Fail"),"FAIL","Pass")</f>
        <v>Pass</v>
      </c>
    </row>
    <row r="4" spans="1:12" x14ac:dyDescent="0.2">
      <c r="A4" t="s">
        <v>71</v>
      </c>
      <c r="B4" t="s">
        <v>72</v>
      </c>
      <c r="C4" t="s">
        <v>18</v>
      </c>
      <c r="D4" t="s">
        <v>73</v>
      </c>
      <c r="E4" t="s">
        <v>74</v>
      </c>
      <c r="F4" t="s">
        <v>20</v>
      </c>
    </row>
    <row r="5" spans="1:12" x14ac:dyDescent="0.2">
      <c r="B5" t="str">
        <f>'Standard Curve'!B18</f>
        <v/>
      </c>
      <c r="C5" t="str">
        <f>'Standard Curve'!B19</f>
        <v/>
      </c>
      <c r="D5" t="str">
        <f>'Standard Curve'!B20</f>
        <v/>
      </c>
      <c r="E5" s="4" t="str">
        <f>'Standard Curve'!B17</f>
        <v/>
      </c>
      <c r="F5" t="str">
        <f>'Standard Curve'!B21</f>
        <v>Phytoxigene Total Cyano</v>
      </c>
    </row>
    <row r="6" spans="1:12" x14ac:dyDescent="0.2">
      <c r="B6" t="str">
        <f>'Standard Curve'!D18</f>
        <v>Pass</v>
      </c>
      <c r="E6" s="4" t="str">
        <f>'Standard Curve'!D17</f>
        <v>FAIL</v>
      </c>
    </row>
    <row r="7" spans="1:12" ht="17" thickBot="1" x14ac:dyDescent="0.25"/>
    <row r="8" spans="1:12" ht="17" thickBot="1" x14ac:dyDescent="0.25">
      <c r="A8" t="s">
        <v>36</v>
      </c>
      <c r="B8" t="s">
        <v>58</v>
      </c>
      <c r="C8" t="s">
        <v>85</v>
      </c>
      <c r="D8" t="s">
        <v>87</v>
      </c>
      <c r="E8" t="s">
        <v>69</v>
      </c>
      <c r="F8" s="3" t="s">
        <v>93</v>
      </c>
      <c r="G8" s="3" t="s">
        <v>92</v>
      </c>
      <c r="H8" s="3" t="s">
        <v>91</v>
      </c>
      <c r="J8" s="146" t="s">
        <v>81</v>
      </c>
      <c r="K8" s="147" t="s">
        <v>82</v>
      </c>
      <c r="L8" s="148" t="s">
        <v>83</v>
      </c>
    </row>
    <row r="9" spans="1:12" x14ac:dyDescent="0.2">
      <c r="A9">
        <f>'Sample Metadata'!D2</f>
        <v>0</v>
      </c>
      <c r="B9">
        <f>'qPCR Run Entry'!E4</f>
        <v>0</v>
      </c>
      <c r="C9" s="73" t="e">
        <f>'Sample Calculation'!I3</f>
        <v>#VALUE!</v>
      </c>
      <c r="D9" s="73" t="e">
        <f>'Sample Calculation'!J3</f>
        <v>#VALUE!</v>
      </c>
      <c r="E9" s="73"/>
      <c r="F9" cm="1">
        <f t="array" ref="F9:F50">'Sample Metadata'!I2:I43</f>
        <v>5</v>
      </c>
      <c r="G9">
        <f>'Sample Metadata'!H2</f>
        <v>0</v>
      </c>
      <c r="H9" s="73">
        <f>'Sample Metadata'!F2</f>
        <v>0</v>
      </c>
      <c r="J9" s="130" t="e">
        <f>((C9*E9)/F9)*(G9/H9)</f>
        <v>#VALUE!</v>
      </c>
      <c r="K9" s="73" t="e">
        <f>((D9*E9)/F9)*(G9/H9)</f>
        <v>#VALUE!</v>
      </c>
      <c r="L9" s="122" t="s">
        <v>84</v>
      </c>
    </row>
    <row r="10" spans="1:12" x14ac:dyDescent="0.2">
      <c r="A10">
        <f>'Sample Metadata'!D3</f>
        <v>0</v>
      </c>
      <c r="B10">
        <f>'qPCR Run Entry'!E5</f>
        <v>0</v>
      </c>
      <c r="C10" s="73" t="e">
        <f>'Sample Calculation'!I5</f>
        <v>#VALUE!</v>
      </c>
      <c r="D10" s="73" t="e">
        <f>'Sample Calculation'!J5</f>
        <v>#VALUE!</v>
      </c>
      <c r="E10" s="73"/>
      <c r="F10">
        <v>5</v>
      </c>
      <c r="G10">
        <f>'Sample Metadata'!H3</f>
        <v>0</v>
      </c>
      <c r="H10" s="73">
        <f>'Sample Metadata'!F3</f>
        <v>0</v>
      </c>
      <c r="J10" s="130" t="e">
        <f t="shared" ref="J10:J49" si="0">((C10*E10)/F10)*(G10/H10)</f>
        <v>#VALUE!</v>
      </c>
      <c r="K10" s="73" t="e">
        <f t="shared" ref="K10:K49" si="1">((D10*E10)/F10)*(G10/H10)</f>
        <v>#VALUE!</v>
      </c>
      <c r="L10" s="122" t="s">
        <v>84</v>
      </c>
    </row>
    <row r="11" spans="1:12" x14ac:dyDescent="0.2">
      <c r="A11">
        <f>'Sample Metadata'!D4</f>
        <v>0</v>
      </c>
      <c r="B11">
        <f>'qPCR Run Entry'!E6</f>
        <v>0</v>
      </c>
      <c r="C11" s="73" t="e">
        <f>'Sample Calculation'!I7</f>
        <v>#VALUE!</v>
      </c>
      <c r="D11" s="73" t="e">
        <f>'Sample Calculation'!J7</f>
        <v>#VALUE!</v>
      </c>
      <c r="E11" s="73"/>
      <c r="F11">
        <v>5</v>
      </c>
      <c r="G11">
        <f>'Sample Metadata'!H4</f>
        <v>0</v>
      </c>
      <c r="H11" s="73">
        <f>'Sample Metadata'!F4</f>
        <v>0</v>
      </c>
      <c r="J11" s="130" t="e">
        <f t="shared" si="0"/>
        <v>#VALUE!</v>
      </c>
      <c r="K11" s="73" t="e">
        <f t="shared" si="1"/>
        <v>#VALUE!</v>
      </c>
      <c r="L11" s="122" t="s">
        <v>84</v>
      </c>
    </row>
    <row r="12" spans="1:12" x14ac:dyDescent="0.2">
      <c r="A12">
        <f>'Sample Metadata'!D5</f>
        <v>0</v>
      </c>
      <c r="B12">
        <f>'qPCR Run Entry'!E7</f>
        <v>0</v>
      </c>
      <c r="C12" s="73" t="e">
        <f>'Sample Calculation'!I9</f>
        <v>#VALUE!</v>
      </c>
      <c r="D12" s="73" t="e">
        <f>'Sample Calculation'!J9</f>
        <v>#VALUE!</v>
      </c>
      <c r="E12" s="73"/>
      <c r="F12">
        <v>5</v>
      </c>
      <c r="G12">
        <f>'Sample Metadata'!H5</f>
        <v>0</v>
      </c>
      <c r="H12" s="73">
        <f>'Sample Metadata'!F5</f>
        <v>0</v>
      </c>
      <c r="J12" s="130" t="e">
        <f t="shared" si="0"/>
        <v>#VALUE!</v>
      </c>
      <c r="K12" s="73" t="e">
        <f t="shared" si="1"/>
        <v>#VALUE!</v>
      </c>
      <c r="L12" s="122" t="s">
        <v>84</v>
      </c>
    </row>
    <row r="13" spans="1:12" x14ac:dyDescent="0.2">
      <c r="A13">
        <f>'Sample Metadata'!D6</f>
        <v>0</v>
      </c>
      <c r="B13">
        <f>'qPCR Run Entry'!E8</f>
        <v>0</v>
      </c>
      <c r="C13" s="73" t="e">
        <f>'Sample Calculation'!I11</f>
        <v>#VALUE!</v>
      </c>
      <c r="D13" s="73" t="e">
        <f>'Sample Calculation'!J11</f>
        <v>#VALUE!</v>
      </c>
      <c r="E13" s="73"/>
      <c r="F13">
        <v>5</v>
      </c>
      <c r="G13">
        <f>'Sample Metadata'!H6</f>
        <v>0</v>
      </c>
      <c r="H13" s="73">
        <f>'Sample Metadata'!F6</f>
        <v>0</v>
      </c>
      <c r="J13" s="130" t="e">
        <f t="shared" si="0"/>
        <v>#VALUE!</v>
      </c>
      <c r="K13" s="73" t="e">
        <f t="shared" si="1"/>
        <v>#VALUE!</v>
      </c>
      <c r="L13" s="122" t="s">
        <v>84</v>
      </c>
    </row>
    <row r="14" spans="1:12" x14ac:dyDescent="0.2">
      <c r="A14">
        <f>'Sample Metadata'!D7</f>
        <v>0</v>
      </c>
      <c r="B14">
        <f>'qPCR Run Entry'!E9</f>
        <v>0</v>
      </c>
      <c r="C14" s="73" t="e">
        <f>'Sample Calculation'!I13</f>
        <v>#VALUE!</v>
      </c>
      <c r="D14" s="73" t="e">
        <f>'Sample Calculation'!J13</f>
        <v>#VALUE!</v>
      </c>
      <c r="E14" s="73"/>
      <c r="F14">
        <v>5</v>
      </c>
      <c r="G14">
        <f>'Sample Metadata'!H7</f>
        <v>0</v>
      </c>
      <c r="H14" s="73">
        <f>'Sample Metadata'!F7</f>
        <v>0</v>
      </c>
      <c r="J14" s="130" t="e">
        <f t="shared" si="0"/>
        <v>#VALUE!</v>
      </c>
      <c r="K14" s="73" t="e">
        <f t="shared" si="1"/>
        <v>#VALUE!</v>
      </c>
      <c r="L14" s="122" t="s">
        <v>84</v>
      </c>
    </row>
    <row r="15" spans="1:12" x14ac:dyDescent="0.2">
      <c r="A15">
        <f>'Sample Metadata'!D8</f>
        <v>0</v>
      </c>
      <c r="B15">
        <f>'qPCR Run Entry'!E10</f>
        <v>0</v>
      </c>
      <c r="C15" s="73" t="e">
        <f>'Sample Calculation'!I15</f>
        <v>#VALUE!</v>
      </c>
      <c r="D15" s="73" t="e">
        <f>'Sample Calculation'!J15</f>
        <v>#VALUE!</v>
      </c>
      <c r="E15" s="73"/>
      <c r="F15">
        <v>5</v>
      </c>
      <c r="G15">
        <f>'Sample Metadata'!H8</f>
        <v>0</v>
      </c>
      <c r="H15" s="73">
        <f>'Sample Metadata'!F8</f>
        <v>0</v>
      </c>
      <c r="J15" s="130" t="e">
        <f t="shared" si="0"/>
        <v>#VALUE!</v>
      </c>
      <c r="K15" s="73" t="e">
        <f t="shared" si="1"/>
        <v>#VALUE!</v>
      </c>
      <c r="L15" s="122" t="s">
        <v>84</v>
      </c>
    </row>
    <row r="16" spans="1:12" x14ac:dyDescent="0.2">
      <c r="A16">
        <f>'Sample Metadata'!D9</f>
        <v>0</v>
      </c>
      <c r="B16">
        <f>'qPCR Run Entry'!E11</f>
        <v>0</v>
      </c>
      <c r="C16" s="73" t="e">
        <f>'Sample Calculation'!I17</f>
        <v>#VALUE!</v>
      </c>
      <c r="D16" s="73" t="e">
        <f>'Sample Calculation'!J17</f>
        <v>#VALUE!</v>
      </c>
      <c r="E16" s="73"/>
      <c r="F16">
        <v>5</v>
      </c>
      <c r="G16">
        <f>'Sample Metadata'!H9</f>
        <v>0</v>
      </c>
      <c r="H16" s="73">
        <f>'Sample Metadata'!F9</f>
        <v>0</v>
      </c>
      <c r="J16" s="130" t="e">
        <f t="shared" si="0"/>
        <v>#VALUE!</v>
      </c>
      <c r="K16" s="73" t="e">
        <f t="shared" si="1"/>
        <v>#VALUE!</v>
      </c>
      <c r="L16" s="122" t="s">
        <v>84</v>
      </c>
    </row>
    <row r="17" spans="1:12" x14ac:dyDescent="0.2">
      <c r="A17">
        <f>'Sample Metadata'!D10</f>
        <v>0</v>
      </c>
      <c r="B17">
        <f>'qPCR Run Entry'!E12</f>
        <v>0</v>
      </c>
      <c r="C17" s="73" t="e">
        <f>'Sample Calculation'!I19</f>
        <v>#VALUE!</v>
      </c>
      <c r="D17" s="73" t="e">
        <f>'Sample Calculation'!J19</f>
        <v>#VALUE!</v>
      </c>
      <c r="E17" s="73"/>
      <c r="F17">
        <v>5</v>
      </c>
      <c r="G17">
        <f>'Sample Metadata'!H10</f>
        <v>0</v>
      </c>
      <c r="H17" s="73">
        <f>'Sample Metadata'!F10</f>
        <v>0</v>
      </c>
      <c r="J17" s="130" t="e">
        <f t="shared" si="0"/>
        <v>#VALUE!</v>
      </c>
      <c r="K17" s="73" t="e">
        <f t="shared" si="1"/>
        <v>#VALUE!</v>
      </c>
      <c r="L17" s="122" t="s">
        <v>84</v>
      </c>
    </row>
    <row r="18" spans="1:12" x14ac:dyDescent="0.2">
      <c r="A18">
        <f>'Sample Metadata'!D11</f>
        <v>0</v>
      </c>
      <c r="B18">
        <f>'qPCR Run Entry'!E13</f>
        <v>0</v>
      </c>
      <c r="C18" s="73" t="e">
        <f>'Sample Calculation'!I21</f>
        <v>#VALUE!</v>
      </c>
      <c r="D18" s="73" t="e">
        <f>'Sample Calculation'!J21</f>
        <v>#VALUE!</v>
      </c>
      <c r="E18" s="73"/>
      <c r="F18">
        <v>5</v>
      </c>
      <c r="G18">
        <f>'Sample Metadata'!H11</f>
        <v>0</v>
      </c>
      <c r="H18" s="73">
        <f>'Sample Metadata'!F11</f>
        <v>0</v>
      </c>
      <c r="J18" s="130" t="e">
        <f t="shared" si="0"/>
        <v>#VALUE!</v>
      </c>
      <c r="K18" s="73" t="e">
        <f t="shared" si="1"/>
        <v>#VALUE!</v>
      </c>
      <c r="L18" s="122" t="s">
        <v>84</v>
      </c>
    </row>
    <row r="19" spans="1:12" x14ac:dyDescent="0.2">
      <c r="A19">
        <f>'Sample Metadata'!D12</f>
        <v>0</v>
      </c>
      <c r="B19">
        <f>'qPCR Run Entry'!E14</f>
        <v>0</v>
      </c>
      <c r="C19" s="73" t="e">
        <f>'Sample Calculation'!I23</f>
        <v>#VALUE!</v>
      </c>
      <c r="D19" s="73" t="e">
        <f>'Sample Calculation'!J23</f>
        <v>#VALUE!</v>
      </c>
      <c r="E19" s="73"/>
      <c r="F19">
        <v>5</v>
      </c>
      <c r="G19">
        <f>'Sample Metadata'!H12</f>
        <v>0</v>
      </c>
      <c r="H19" s="73">
        <f>'Sample Metadata'!F12</f>
        <v>0</v>
      </c>
      <c r="J19" s="130" t="e">
        <f t="shared" si="0"/>
        <v>#VALUE!</v>
      </c>
      <c r="K19" s="73" t="e">
        <f t="shared" si="1"/>
        <v>#VALUE!</v>
      </c>
      <c r="L19" s="122" t="s">
        <v>84</v>
      </c>
    </row>
    <row r="20" spans="1:12" x14ac:dyDescent="0.2">
      <c r="A20">
        <f>'Sample Metadata'!D13</f>
        <v>0</v>
      </c>
      <c r="B20">
        <f>'qPCR Run Entry'!E15</f>
        <v>0</v>
      </c>
      <c r="C20" s="73" t="e">
        <f>'Sample Calculation'!I25</f>
        <v>#VALUE!</v>
      </c>
      <c r="D20" s="73" t="e">
        <f>'Sample Calculation'!J25</f>
        <v>#VALUE!</v>
      </c>
      <c r="E20" s="73"/>
      <c r="F20">
        <v>5</v>
      </c>
      <c r="G20">
        <f>'Sample Metadata'!H13</f>
        <v>0</v>
      </c>
      <c r="H20" s="73">
        <f>'Sample Metadata'!F13</f>
        <v>0</v>
      </c>
      <c r="J20" s="130" t="e">
        <f t="shared" si="0"/>
        <v>#VALUE!</v>
      </c>
      <c r="K20" s="73" t="e">
        <f t="shared" si="1"/>
        <v>#VALUE!</v>
      </c>
      <c r="L20" s="122" t="s">
        <v>84</v>
      </c>
    </row>
    <row r="21" spans="1:12" x14ac:dyDescent="0.2">
      <c r="A21">
        <f>'Sample Metadata'!D14</f>
        <v>0</v>
      </c>
      <c r="B21">
        <f>'qPCR Run Entry'!E16</f>
        <v>0</v>
      </c>
      <c r="C21" s="73" t="e">
        <f>'Sample Calculation'!I27</f>
        <v>#VALUE!</v>
      </c>
      <c r="D21" s="73" t="e">
        <f>'Sample Calculation'!J27</f>
        <v>#VALUE!</v>
      </c>
      <c r="E21" s="73"/>
      <c r="F21">
        <v>5</v>
      </c>
      <c r="G21">
        <f>'Sample Metadata'!H14</f>
        <v>0</v>
      </c>
      <c r="H21" s="73">
        <f>'Sample Metadata'!F14</f>
        <v>0</v>
      </c>
      <c r="J21" s="130" t="e">
        <f t="shared" si="0"/>
        <v>#VALUE!</v>
      </c>
      <c r="K21" s="73" t="e">
        <f t="shared" si="1"/>
        <v>#VALUE!</v>
      </c>
      <c r="L21" s="122" t="s">
        <v>84</v>
      </c>
    </row>
    <row r="22" spans="1:12" x14ac:dyDescent="0.2">
      <c r="A22">
        <f>'Sample Metadata'!D15</f>
        <v>0</v>
      </c>
      <c r="B22">
        <f>'qPCR Run Entry'!E17</f>
        <v>0</v>
      </c>
      <c r="C22" s="73" t="e">
        <f>'Sample Calculation'!I29</f>
        <v>#VALUE!</v>
      </c>
      <c r="D22" s="73" t="e">
        <f>'Sample Calculation'!J29</f>
        <v>#VALUE!</v>
      </c>
      <c r="E22" s="73"/>
      <c r="F22">
        <v>5</v>
      </c>
      <c r="G22">
        <f>'Sample Metadata'!H15</f>
        <v>0</v>
      </c>
      <c r="H22" s="73">
        <f>'Sample Metadata'!F15</f>
        <v>0</v>
      </c>
      <c r="J22" s="130" t="e">
        <f t="shared" si="0"/>
        <v>#VALUE!</v>
      </c>
      <c r="K22" s="73" t="e">
        <f t="shared" si="1"/>
        <v>#VALUE!</v>
      </c>
      <c r="L22" s="122" t="s">
        <v>84</v>
      </c>
    </row>
    <row r="23" spans="1:12" x14ac:dyDescent="0.2">
      <c r="A23">
        <f>'Sample Metadata'!D16</f>
        <v>0</v>
      </c>
      <c r="B23">
        <f>'qPCR Run Entry'!E18</f>
        <v>0</v>
      </c>
      <c r="C23" s="73" t="e">
        <f>'Sample Calculation'!I31</f>
        <v>#VALUE!</v>
      </c>
      <c r="D23" s="73" t="e">
        <f>'Sample Calculation'!J31</f>
        <v>#VALUE!</v>
      </c>
      <c r="E23" s="73"/>
      <c r="F23">
        <v>5</v>
      </c>
      <c r="G23">
        <f>'Sample Metadata'!H16</f>
        <v>0</v>
      </c>
      <c r="H23" s="73">
        <f>'Sample Metadata'!F16</f>
        <v>0</v>
      </c>
      <c r="J23" s="130" t="e">
        <f t="shared" si="0"/>
        <v>#VALUE!</v>
      </c>
      <c r="K23" s="73" t="e">
        <f t="shared" si="1"/>
        <v>#VALUE!</v>
      </c>
      <c r="L23" s="122" t="s">
        <v>84</v>
      </c>
    </row>
    <row r="24" spans="1:12" x14ac:dyDescent="0.2">
      <c r="A24">
        <f>'Sample Metadata'!D17</f>
        <v>0</v>
      </c>
      <c r="B24">
        <f>'qPCR Run Entry'!E19</f>
        <v>0</v>
      </c>
      <c r="C24" s="73" t="e">
        <f>'Sample Calculation'!I33</f>
        <v>#VALUE!</v>
      </c>
      <c r="D24" s="73" t="e">
        <f>'Sample Calculation'!J33</f>
        <v>#VALUE!</v>
      </c>
      <c r="E24" s="73"/>
      <c r="F24">
        <v>5</v>
      </c>
      <c r="G24">
        <f>'Sample Metadata'!H17</f>
        <v>0</v>
      </c>
      <c r="H24" s="73">
        <f>'Sample Metadata'!F17</f>
        <v>0</v>
      </c>
      <c r="J24" s="130" t="e">
        <f t="shared" si="0"/>
        <v>#VALUE!</v>
      </c>
      <c r="K24" s="73" t="e">
        <f t="shared" si="1"/>
        <v>#VALUE!</v>
      </c>
      <c r="L24" s="122" t="s">
        <v>84</v>
      </c>
    </row>
    <row r="25" spans="1:12" x14ac:dyDescent="0.2">
      <c r="A25">
        <f>'Sample Metadata'!D18</f>
        <v>0</v>
      </c>
      <c r="B25">
        <f>'qPCR Run Entry'!E20</f>
        <v>0</v>
      </c>
      <c r="C25" s="73" t="e">
        <f>'Sample Calculation'!I35</f>
        <v>#VALUE!</v>
      </c>
      <c r="D25" s="73" t="e">
        <f>'Sample Calculation'!J35</f>
        <v>#VALUE!</v>
      </c>
      <c r="E25" s="73"/>
      <c r="F25">
        <v>5</v>
      </c>
      <c r="G25">
        <f>'Sample Metadata'!H18</f>
        <v>0</v>
      </c>
      <c r="H25" s="73">
        <f>'Sample Metadata'!F18</f>
        <v>0</v>
      </c>
      <c r="J25" s="130" t="e">
        <f t="shared" si="0"/>
        <v>#VALUE!</v>
      </c>
      <c r="K25" s="73" t="e">
        <f t="shared" si="1"/>
        <v>#VALUE!</v>
      </c>
      <c r="L25" s="122" t="s">
        <v>84</v>
      </c>
    </row>
    <row r="26" spans="1:12" x14ac:dyDescent="0.2">
      <c r="A26">
        <f>'Sample Metadata'!D19</f>
        <v>0</v>
      </c>
      <c r="B26">
        <f>'qPCR Run Entry'!E21</f>
        <v>0</v>
      </c>
      <c r="C26" s="73" t="e">
        <f>'Sample Calculation'!I37</f>
        <v>#VALUE!</v>
      </c>
      <c r="D26" s="73" t="e">
        <f>'Sample Calculation'!J37</f>
        <v>#VALUE!</v>
      </c>
      <c r="E26" s="73"/>
      <c r="F26">
        <v>5</v>
      </c>
      <c r="G26">
        <f>'Sample Metadata'!H19</f>
        <v>0</v>
      </c>
      <c r="H26" s="73">
        <f>'Sample Metadata'!F19</f>
        <v>0</v>
      </c>
      <c r="J26" s="130" t="e">
        <f t="shared" si="0"/>
        <v>#VALUE!</v>
      </c>
      <c r="K26" s="73" t="e">
        <f t="shared" si="1"/>
        <v>#VALUE!</v>
      </c>
      <c r="L26" s="122" t="s">
        <v>84</v>
      </c>
    </row>
    <row r="27" spans="1:12" x14ac:dyDescent="0.2">
      <c r="A27">
        <f>'Sample Metadata'!D20</f>
        <v>0</v>
      </c>
      <c r="B27">
        <f>'qPCR Run Entry'!E22</f>
        <v>0</v>
      </c>
      <c r="C27" s="73" t="e">
        <f>'Sample Calculation'!I39</f>
        <v>#VALUE!</v>
      </c>
      <c r="D27" s="73" t="e">
        <f>'Sample Calculation'!J39</f>
        <v>#VALUE!</v>
      </c>
      <c r="E27" s="73"/>
      <c r="F27">
        <v>5</v>
      </c>
      <c r="G27">
        <f>'Sample Metadata'!H20</f>
        <v>0</v>
      </c>
      <c r="H27" s="73">
        <f>'Sample Metadata'!F20</f>
        <v>0</v>
      </c>
      <c r="J27" s="130" t="e">
        <f t="shared" si="0"/>
        <v>#VALUE!</v>
      </c>
      <c r="K27" s="73" t="e">
        <f t="shared" si="1"/>
        <v>#VALUE!</v>
      </c>
      <c r="L27" s="122" t="s">
        <v>84</v>
      </c>
    </row>
    <row r="28" spans="1:12" x14ac:dyDescent="0.2">
      <c r="A28">
        <f>'Sample Metadata'!D21</f>
        <v>0</v>
      </c>
      <c r="B28">
        <f>'qPCR Run Entry'!E23</f>
        <v>0</v>
      </c>
      <c r="C28" s="73" t="e">
        <f>'Sample Calculation'!I41</f>
        <v>#VALUE!</v>
      </c>
      <c r="D28" s="73" t="e">
        <f>'Sample Calculation'!J41</f>
        <v>#VALUE!</v>
      </c>
      <c r="E28" s="73"/>
      <c r="F28">
        <v>5</v>
      </c>
      <c r="G28">
        <f>'Sample Metadata'!H21</f>
        <v>0</v>
      </c>
      <c r="H28" s="73">
        <f>'Sample Metadata'!F21</f>
        <v>0</v>
      </c>
      <c r="J28" s="130" t="e">
        <f t="shared" si="0"/>
        <v>#VALUE!</v>
      </c>
      <c r="K28" s="73" t="e">
        <f t="shared" si="1"/>
        <v>#VALUE!</v>
      </c>
      <c r="L28" s="122" t="s">
        <v>84</v>
      </c>
    </row>
    <row r="29" spans="1:12" x14ac:dyDescent="0.2">
      <c r="A29">
        <f>'Sample Metadata'!D22</f>
        <v>0</v>
      </c>
      <c r="B29">
        <f>'qPCR Run Entry'!E24</f>
        <v>0</v>
      </c>
      <c r="C29" s="73" t="e">
        <f>'Sample Calculation'!I43</f>
        <v>#VALUE!</v>
      </c>
      <c r="D29" s="73" t="e">
        <f>'Sample Calculation'!J43</f>
        <v>#VALUE!</v>
      </c>
      <c r="E29" s="73"/>
      <c r="F29">
        <v>5</v>
      </c>
      <c r="G29">
        <f>'Sample Metadata'!H22</f>
        <v>0</v>
      </c>
      <c r="H29" s="73">
        <f>'Sample Metadata'!F22</f>
        <v>0</v>
      </c>
      <c r="J29" s="130" t="e">
        <f t="shared" si="0"/>
        <v>#VALUE!</v>
      </c>
      <c r="K29" s="73" t="e">
        <f t="shared" si="1"/>
        <v>#VALUE!</v>
      </c>
      <c r="L29" s="122" t="s">
        <v>84</v>
      </c>
    </row>
    <row r="30" spans="1:12" x14ac:dyDescent="0.2">
      <c r="A30">
        <f>'Sample Metadata'!D23</f>
        <v>0</v>
      </c>
      <c r="B30">
        <f>'qPCR Run Entry'!E25</f>
        <v>0</v>
      </c>
      <c r="C30" s="73" t="e">
        <f>'Sample Calculation'!I45</f>
        <v>#VALUE!</v>
      </c>
      <c r="D30" s="73" t="e">
        <f>'Sample Calculation'!J45</f>
        <v>#VALUE!</v>
      </c>
      <c r="E30" s="73"/>
      <c r="F30">
        <v>5</v>
      </c>
      <c r="G30">
        <f>'Sample Metadata'!H23</f>
        <v>0</v>
      </c>
      <c r="H30" s="73">
        <f>'Sample Metadata'!F23</f>
        <v>0</v>
      </c>
      <c r="J30" s="130" t="e">
        <f t="shared" si="0"/>
        <v>#VALUE!</v>
      </c>
      <c r="K30" s="73" t="e">
        <f t="shared" si="1"/>
        <v>#VALUE!</v>
      </c>
      <c r="L30" s="122" t="s">
        <v>84</v>
      </c>
    </row>
    <row r="31" spans="1:12" x14ac:dyDescent="0.2">
      <c r="A31">
        <f>'Sample Metadata'!D24</f>
        <v>0</v>
      </c>
      <c r="B31">
        <f>'qPCR Run Entry'!E26</f>
        <v>0</v>
      </c>
      <c r="C31" s="73" t="e">
        <f>'Sample Calculation'!I47</f>
        <v>#VALUE!</v>
      </c>
      <c r="D31" s="73" t="e">
        <f>'Sample Calculation'!J47</f>
        <v>#VALUE!</v>
      </c>
      <c r="E31" s="73"/>
      <c r="F31">
        <v>5</v>
      </c>
      <c r="G31">
        <f>'Sample Metadata'!H24</f>
        <v>0</v>
      </c>
      <c r="H31" s="73">
        <f>'Sample Metadata'!F24</f>
        <v>0</v>
      </c>
      <c r="J31" s="130" t="e">
        <f t="shared" si="0"/>
        <v>#VALUE!</v>
      </c>
      <c r="K31" s="73" t="e">
        <f t="shared" si="1"/>
        <v>#VALUE!</v>
      </c>
      <c r="L31" s="122" t="s">
        <v>84</v>
      </c>
    </row>
    <row r="32" spans="1:12" x14ac:dyDescent="0.2">
      <c r="A32">
        <f>'Sample Metadata'!D25</f>
        <v>0</v>
      </c>
      <c r="B32">
        <f>'qPCR Run Entry'!E27</f>
        <v>0</v>
      </c>
      <c r="C32" s="73" t="e">
        <f>'Sample Calculation'!I49</f>
        <v>#VALUE!</v>
      </c>
      <c r="D32" s="73" t="e">
        <f>'Sample Calculation'!J49</f>
        <v>#VALUE!</v>
      </c>
      <c r="E32" s="73"/>
      <c r="F32">
        <v>5</v>
      </c>
      <c r="G32">
        <f>'Sample Metadata'!H25</f>
        <v>0</v>
      </c>
      <c r="H32" s="73">
        <f>'Sample Metadata'!F25</f>
        <v>0</v>
      </c>
      <c r="J32" s="130" t="e">
        <f t="shared" si="0"/>
        <v>#VALUE!</v>
      </c>
      <c r="K32" s="73" t="e">
        <f t="shared" si="1"/>
        <v>#VALUE!</v>
      </c>
      <c r="L32" s="122" t="s">
        <v>84</v>
      </c>
    </row>
    <row r="33" spans="1:12" x14ac:dyDescent="0.2">
      <c r="A33">
        <f>'Sample Metadata'!D26</f>
        <v>0</v>
      </c>
      <c r="B33">
        <f>'qPCR Run Entry'!E28</f>
        <v>0</v>
      </c>
      <c r="C33" s="73" t="e">
        <f>'Sample Calculation'!I51</f>
        <v>#VALUE!</v>
      </c>
      <c r="D33" s="73" t="e">
        <f>'Sample Calculation'!J51</f>
        <v>#VALUE!</v>
      </c>
      <c r="E33" s="73"/>
      <c r="F33">
        <v>5</v>
      </c>
      <c r="G33">
        <f>'Sample Metadata'!H26</f>
        <v>0</v>
      </c>
      <c r="H33" s="73">
        <f>'Sample Metadata'!F26</f>
        <v>0</v>
      </c>
      <c r="J33" s="130" t="e">
        <f t="shared" si="0"/>
        <v>#VALUE!</v>
      </c>
      <c r="K33" s="73" t="e">
        <f t="shared" si="1"/>
        <v>#VALUE!</v>
      </c>
      <c r="L33" s="122" t="s">
        <v>84</v>
      </c>
    </row>
    <row r="34" spans="1:12" x14ac:dyDescent="0.2">
      <c r="A34">
        <f>'Sample Metadata'!D27</f>
        <v>0</v>
      </c>
      <c r="B34">
        <f>'qPCR Run Entry'!E29</f>
        <v>0</v>
      </c>
      <c r="C34" s="73" t="e">
        <f>'Sample Calculation'!I53</f>
        <v>#VALUE!</v>
      </c>
      <c r="D34" s="73" t="e">
        <f>'Sample Calculation'!J53</f>
        <v>#VALUE!</v>
      </c>
      <c r="E34" s="73"/>
      <c r="F34">
        <v>5</v>
      </c>
      <c r="G34">
        <f>'Sample Metadata'!H27</f>
        <v>0</v>
      </c>
      <c r="H34" s="73">
        <f>'Sample Metadata'!F27</f>
        <v>0</v>
      </c>
      <c r="J34" s="130" t="e">
        <f t="shared" si="0"/>
        <v>#VALUE!</v>
      </c>
      <c r="K34" s="73" t="e">
        <f t="shared" si="1"/>
        <v>#VALUE!</v>
      </c>
      <c r="L34" s="122" t="s">
        <v>84</v>
      </c>
    </row>
    <row r="35" spans="1:12" x14ac:dyDescent="0.2">
      <c r="A35">
        <f>'Sample Metadata'!D28</f>
        <v>0</v>
      </c>
      <c r="B35">
        <f>'qPCR Run Entry'!E30</f>
        <v>0</v>
      </c>
      <c r="C35" s="73" t="e">
        <f>'Sample Calculation'!I55</f>
        <v>#VALUE!</v>
      </c>
      <c r="D35" s="73" t="e">
        <f>'Sample Calculation'!J55</f>
        <v>#VALUE!</v>
      </c>
      <c r="E35" s="73"/>
      <c r="F35">
        <v>5</v>
      </c>
      <c r="G35">
        <f>'Sample Metadata'!H28</f>
        <v>0</v>
      </c>
      <c r="H35" s="73">
        <f>'Sample Metadata'!F28</f>
        <v>0</v>
      </c>
      <c r="J35" s="130" t="e">
        <f t="shared" si="0"/>
        <v>#VALUE!</v>
      </c>
      <c r="K35" s="73" t="e">
        <f t="shared" si="1"/>
        <v>#VALUE!</v>
      </c>
      <c r="L35" s="122" t="s">
        <v>84</v>
      </c>
    </row>
    <row r="36" spans="1:12" x14ac:dyDescent="0.2">
      <c r="A36">
        <f>'Sample Metadata'!D29</f>
        <v>0</v>
      </c>
      <c r="B36">
        <f>'qPCR Run Entry'!E31</f>
        <v>0</v>
      </c>
      <c r="C36" s="73" t="e">
        <f>'Sample Calculation'!I57</f>
        <v>#VALUE!</v>
      </c>
      <c r="D36" s="73" t="e">
        <f>'Sample Calculation'!J57</f>
        <v>#VALUE!</v>
      </c>
      <c r="E36" s="73"/>
      <c r="F36">
        <v>5</v>
      </c>
      <c r="G36">
        <f>'Sample Metadata'!H29</f>
        <v>0</v>
      </c>
      <c r="H36" s="73">
        <f>'Sample Metadata'!F29</f>
        <v>0</v>
      </c>
      <c r="J36" s="130" t="e">
        <f t="shared" si="0"/>
        <v>#VALUE!</v>
      </c>
      <c r="K36" s="73" t="e">
        <f t="shared" si="1"/>
        <v>#VALUE!</v>
      </c>
      <c r="L36" s="122" t="s">
        <v>84</v>
      </c>
    </row>
    <row r="37" spans="1:12" x14ac:dyDescent="0.2">
      <c r="A37">
        <f>'Sample Metadata'!D30</f>
        <v>0</v>
      </c>
      <c r="B37">
        <f>'qPCR Run Entry'!E32</f>
        <v>0</v>
      </c>
      <c r="C37" s="73" t="e">
        <f>'Sample Calculation'!I59</f>
        <v>#VALUE!</v>
      </c>
      <c r="D37" s="73" t="e">
        <f>'Sample Calculation'!J59</f>
        <v>#VALUE!</v>
      </c>
      <c r="E37" s="73"/>
      <c r="F37">
        <v>5</v>
      </c>
      <c r="G37">
        <f>'Sample Metadata'!H30</f>
        <v>0</v>
      </c>
      <c r="H37" s="73">
        <f>'Sample Metadata'!F30</f>
        <v>0</v>
      </c>
      <c r="J37" s="130" t="e">
        <f t="shared" si="0"/>
        <v>#VALUE!</v>
      </c>
      <c r="K37" s="73" t="e">
        <f t="shared" si="1"/>
        <v>#VALUE!</v>
      </c>
      <c r="L37" s="122" t="s">
        <v>84</v>
      </c>
    </row>
    <row r="38" spans="1:12" x14ac:dyDescent="0.2">
      <c r="A38">
        <f>'Sample Metadata'!D31</f>
        <v>0</v>
      </c>
      <c r="B38">
        <f>'qPCR Run Entry'!E33</f>
        <v>0</v>
      </c>
      <c r="C38" s="73" t="e">
        <f>'Sample Calculation'!I61</f>
        <v>#VALUE!</v>
      </c>
      <c r="D38" s="73" t="e">
        <f>'Sample Calculation'!J61</f>
        <v>#VALUE!</v>
      </c>
      <c r="E38" s="73"/>
      <c r="F38">
        <v>5</v>
      </c>
      <c r="G38">
        <f>'Sample Metadata'!H31</f>
        <v>0</v>
      </c>
      <c r="H38" s="73">
        <f>'Sample Metadata'!F31</f>
        <v>0</v>
      </c>
      <c r="J38" s="130" t="e">
        <f t="shared" si="0"/>
        <v>#VALUE!</v>
      </c>
      <c r="K38" s="73" t="e">
        <f t="shared" si="1"/>
        <v>#VALUE!</v>
      </c>
      <c r="L38" s="122" t="s">
        <v>84</v>
      </c>
    </row>
    <row r="39" spans="1:12" x14ac:dyDescent="0.2">
      <c r="A39">
        <f>'Sample Metadata'!D32</f>
        <v>0</v>
      </c>
      <c r="B39">
        <f>'qPCR Run Entry'!E34</f>
        <v>0</v>
      </c>
      <c r="C39" s="73" t="e">
        <f>'Sample Calculation'!I63</f>
        <v>#VALUE!</v>
      </c>
      <c r="D39" s="73" t="e">
        <f>'Sample Calculation'!J63</f>
        <v>#VALUE!</v>
      </c>
      <c r="E39" s="73"/>
      <c r="F39">
        <v>5</v>
      </c>
      <c r="G39">
        <f>'Sample Metadata'!H32</f>
        <v>0</v>
      </c>
      <c r="H39" s="73">
        <f>'Sample Metadata'!F32</f>
        <v>0</v>
      </c>
      <c r="J39" s="130" t="e">
        <f t="shared" si="0"/>
        <v>#VALUE!</v>
      </c>
      <c r="K39" s="73" t="e">
        <f t="shared" si="1"/>
        <v>#VALUE!</v>
      </c>
      <c r="L39" s="122" t="s">
        <v>84</v>
      </c>
    </row>
    <row r="40" spans="1:12" x14ac:dyDescent="0.2">
      <c r="A40">
        <f>'Sample Metadata'!D33</f>
        <v>0</v>
      </c>
      <c r="B40">
        <f>'qPCR Run Entry'!E35</f>
        <v>0</v>
      </c>
      <c r="C40" s="73" t="e">
        <f>'Sample Calculation'!I65</f>
        <v>#VALUE!</v>
      </c>
      <c r="D40" s="73" t="e">
        <f>'Sample Calculation'!J65</f>
        <v>#VALUE!</v>
      </c>
      <c r="E40" s="73"/>
      <c r="F40">
        <v>5</v>
      </c>
      <c r="G40">
        <f>'Sample Metadata'!H33</f>
        <v>0</v>
      </c>
      <c r="H40" s="73">
        <f>'Sample Metadata'!F33</f>
        <v>0</v>
      </c>
      <c r="J40" s="130" t="e">
        <f t="shared" si="0"/>
        <v>#VALUE!</v>
      </c>
      <c r="K40" s="73" t="e">
        <f t="shared" si="1"/>
        <v>#VALUE!</v>
      </c>
      <c r="L40" s="122" t="s">
        <v>84</v>
      </c>
    </row>
    <row r="41" spans="1:12" x14ac:dyDescent="0.2">
      <c r="A41">
        <f>'Sample Metadata'!D34</f>
        <v>0</v>
      </c>
      <c r="B41">
        <f>'qPCR Run Entry'!E36</f>
        <v>0</v>
      </c>
      <c r="C41" s="73" t="e">
        <f>'Sample Calculation'!I67</f>
        <v>#VALUE!</v>
      </c>
      <c r="D41" s="73" t="e">
        <f>'Sample Calculation'!J67</f>
        <v>#VALUE!</v>
      </c>
      <c r="E41" s="73"/>
      <c r="F41">
        <v>5</v>
      </c>
      <c r="G41">
        <f>'Sample Metadata'!H34</f>
        <v>0</v>
      </c>
      <c r="H41" s="73">
        <f>'Sample Metadata'!F34</f>
        <v>0</v>
      </c>
      <c r="J41" s="130" t="e">
        <f t="shared" si="0"/>
        <v>#VALUE!</v>
      </c>
      <c r="K41" s="73" t="e">
        <f t="shared" si="1"/>
        <v>#VALUE!</v>
      </c>
      <c r="L41" s="122" t="s">
        <v>84</v>
      </c>
    </row>
    <row r="42" spans="1:12" x14ac:dyDescent="0.2">
      <c r="A42">
        <f>'Sample Metadata'!D35</f>
        <v>0</v>
      </c>
      <c r="B42">
        <f>'qPCR Run Entry'!E37</f>
        <v>0</v>
      </c>
      <c r="C42" s="73" t="e">
        <f>'Sample Calculation'!I69</f>
        <v>#VALUE!</v>
      </c>
      <c r="D42" s="73" t="e">
        <f>'Sample Calculation'!J69</f>
        <v>#VALUE!</v>
      </c>
      <c r="E42" s="73"/>
      <c r="F42">
        <v>5</v>
      </c>
      <c r="G42">
        <f>'Sample Metadata'!H35</f>
        <v>0</v>
      </c>
      <c r="H42" s="73">
        <f>'Sample Metadata'!F35</f>
        <v>0</v>
      </c>
      <c r="J42" s="130" t="e">
        <f t="shared" si="0"/>
        <v>#VALUE!</v>
      </c>
      <c r="K42" s="73" t="e">
        <f t="shared" si="1"/>
        <v>#VALUE!</v>
      </c>
      <c r="L42" s="122" t="s">
        <v>84</v>
      </c>
    </row>
    <row r="43" spans="1:12" x14ac:dyDescent="0.2">
      <c r="A43">
        <f>'Sample Metadata'!D36</f>
        <v>0</v>
      </c>
      <c r="B43">
        <f>'qPCR Run Entry'!E38</f>
        <v>0</v>
      </c>
      <c r="C43" s="73" t="e">
        <f>'Sample Calculation'!I71</f>
        <v>#VALUE!</v>
      </c>
      <c r="D43" s="73" t="e">
        <f>'Sample Calculation'!J71</f>
        <v>#VALUE!</v>
      </c>
      <c r="E43" s="73"/>
      <c r="F43">
        <v>5</v>
      </c>
      <c r="G43">
        <f>'Sample Metadata'!H36</f>
        <v>0</v>
      </c>
      <c r="H43" s="73">
        <f>'Sample Metadata'!F36</f>
        <v>0</v>
      </c>
      <c r="J43" s="130" t="e">
        <f t="shared" si="0"/>
        <v>#VALUE!</v>
      </c>
      <c r="K43" s="73" t="e">
        <f t="shared" si="1"/>
        <v>#VALUE!</v>
      </c>
      <c r="L43" s="122" t="s">
        <v>84</v>
      </c>
    </row>
    <row r="44" spans="1:12" x14ac:dyDescent="0.2">
      <c r="A44">
        <f>'Sample Metadata'!D37</f>
        <v>0</v>
      </c>
      <c r="B44">
        <f>'qPCR Run Entry'!E39</f>
        <v>0</v>
      </c>
      <c r="C44" s="73" t="e">
        <f>'Sample Calculation'!I73</f>
        <v>#VALUE!</v>
      </c>
      <c r="D44" s="73" t="e">
        <f>'Sample Calculation'!J73</f>
        <v>#VALUE!</v>
      </c>
      <c r="E44" s="73"/>
      <c r="F44">
        <v>5</v>
      </c>
      <c r="G44">
        <f>'Sample Metadata'!H37</f>
        <v>0</v>
      </c>
      <c r="H44" s="73">
        <f>'Sample Metadata'!F37</f>
        <v>0</v>
      </c>
      <c r="J44" s="130" t="e">
        <f t="shared" si="0"/>
        <v>#VALUE!</v>
      </c>
      <c r="K44" s="73" t="e">
        <f t="shared" si="1"/>
        <v>#VALUE!</v>
      </c>
      <c r="L44" s="122" t="s">
        <v>84</v>
      </c>
    </row>
    <row r="45" spans="1:12" x14ac:dyDescent="0.2">
      <c r="A45">
        <f>'Sample Metadata'!D38</f>
        <v>0</v>
      </c>
      <c r="B45">
        <f>'qPCR Run Entry'!E40</f>
        <v>0</v>
      </c>
      <c r="C45" s="73" t="e">
        <f>'Sample Calculation'!I75</f>
        <v>#VALUE!</v>
      </c>
      <c r="D45" s="73" t="e">
        <f>'Sample Calculation'!J75</f>
        <v>#VALUE!</v>
      </c>
      <c r="E45" s="73"/>
      <c r="F45">
        <v>5</v>
      </c>
      <c r="G45">
        <f>'Sample Metadata'!H38</f>
        <v>0</v>
      </c>
      <c r="H45" s="73">
        <f>'Sample Metadata'!F38</f>
        <v>0</v>
      </c>
      <c r="J45" s="130" t="e">
        <f t="shared" si="0"/>
        <v>#VALUE!</v>
      </c>
      <c r="K45" s="73" t="e">
        <f t="shared" si="1"/>
        <v>#VALUE!</v>
      </c>
      <c r="L45" s="122" t="s">
        <v>84</v>
      </c>
    </row>
    <row r="46" spans="1:12" x14ac:dyDescent="0.2">
      <c r="A46">
        <f>'Sample Metadata'!D39</f>
        <v>0</v>
      </c>
      <c r="B46">
        <f>'qPCR Run Entry'!E41</f>
        <v>0</v>
      </c>
      <c r="C46" s="73" t="e">
        <f>'Sample Calculation'!I77</f>
        <v>#VALUE!</v>
      </c>
      <c r="D46" s="73" t="e">
        <f>'Sample Calculation'!J77</f>
        <v>#VALUE!</v>
      </c>
      <c r="E46" s="73"/>
      <c r="F46">
        <v>5</v>
      </c>
      <c r="G46">
        <f>'Sample Metadata'!H39</f>
        <v>0</v>
      </c>
      <c r="H46" s="73">
        <f>'Sample Metadata'!F39</f>
        <v>0</v>
      </c>
      <c r="J46" s="130" t="e">
        <f t="shared" si="0"/>
        <v>#VALUE!</v>
      </c>
      <c r="K46" s="73" t="e">
        <f t="shared" si="1"/>
        <v>#VALUE!</v>
      </c>
      <c r="L46" s="122" t="s">
        <v>84</v>
      </c>
    </row>
    <row r="47" spans="1:12" x14ac:dyDescent="0.2">
      <c r="A47">
        <f>'Sample Metadata'!D40</f>
        <v>0</v>
      </c>
      <c r="B47">
        <f>'qPCR Run Entry'!E42</f>
        <v>0</v>
      </c>
      <c r="C47" s="73" t="e">
        <f>'Sample Calculation'!I79</f>
        <v>#VALUE!</v>
      </c>
      <c r="D47" s="73" t="e">
        <f>'Sample Calculation'!J79</f>
        <v>#VALUE!</v>
      </c>
      <c r="E47" s="73"/>
      <c r="F47">
        <v>5</v>
      </c>
      <c r="G47">
        <f>'Sample Metadata'!H40</f>
        <v>0</v>
      </c>
      <c r="H47" s="73">
        <f>'Sample Metadata'!F40</f>
        <v>0</v>
      </c>
      <c r="J47" s="130" t="e">
        <f t="shared" si="0"/>
        <v>#VALUE!</v>
      </c>
      <c r="K47" s="73" t="e">
        <f t="shared" si="1"/>
        <v>#VALUE!</v>
      </c>
      <c r="L47" s="122" t="s">
        <v>84</v>
      </c>
    </row>
    <row r="48" spans="1:12" x14ac:dyDescent="0.2">
      <c r="A48">
        <f>'Sample Metadata'!D41</f>
        <v>0</v>
      </c>
      <c r="B48">
        <f>'qPCR Run Entry'!E43</f>
        <v>0</v>
      </c>
      <c r="C48" s="73" t="e">
        <f>'Sample Calculation'!I81</f>
        <v>#VALUE!</v>
      </c>
      <c r="D48" s="73" t="e">
        <f>'Sample Calculation'!J81</f>
        <v>#VALUE!</v>
      </c>
      <c r="E48" s="73"/>
      <c r="F48">
        <v>5</v>
      </c>
      <c r="G48">
        <f>'Sample Metadata'!H41</f>
        <v>0</v>
      </c>
      <c r="H48" s="73">
        <f>'Sample Metadata'!F41</f>
        <v>0</v>
      </c>
      <c r="J48" s="130" t="e">
        <f t="shared" si="0"/>
        <v>#VALUE!</v>
      </c>
      <c r="K48" s="73" t="e">
        <f t="shared" si="1"/>
        <v>#VALUE!</v>
      </c>
      <c r="L48" s="122" t="s">
        <v>84</v>
      </c>
    </row>
    <row r="49" spans="1:12" x14ac:dyDescent="0.2">
      <c r="A49">
        <f>'Sample Metadata'!D42</f>
        <v>0</v>
      </c>
      <c r="B49">
        <f>'qPCR Run Entry'!E44</f>
        <v>0</v>
      </c>
      <c r="C49" s="73" t="e">
        <f>'Sample Calculation'!I83</f>
        <v>#VALUE!</v>
      </c>
      <c r="D49" s="73" t="e">
        <f>'Sample Calculation'!J83</f>
        <v>#VALUE!</v>
      </c>
      <c r="E49" s="73"/>
      <c r="F49">
        <v>5</v>
      </c>
      <c r="G49">
        <f>'Sample Metadata'!H42</f>
        <v>0</v>
      </c>
      <c r="H49" s="73">
        <f>'Sample Metadata'!F42</f>
        <v>0</v>
      </c>
      <c r="J49" s="130" t="e">
        <f t="shared" si="0"/>
        <v>#VALUE!</v>
      </c>
      <c r="K49" s="73" t="e">
        <f t="shared" si="1"/>
        <v>#VALUE!</v>
      </c>
      <c r="L49" s="122" t="s">
        <v>84</v>
      </c>
    </row>
    <row r="50" spans="1:12" ht="17" thickBot="1" x14ac:dyDescent="0.25">
      <c r="A50">
        <f>'Sample Metadata'!D43</f>
        <v>0</v>
      </c>
      <c r="B50">
        <f>'qPCR Run Entry'!E45</f>
        <v>0</v>
      </c>
      <c r="C50" s="73" t="e">
        <f>'Sample Calculation'!I85</f>
        <v>#VALUE!</v>
      </c>
      <c r="D50" s="73" t="e">
        <f>'Sample Calculation'!J85</f>
        <v>#VALUE!</v>
      </c>
      <c r="E50" s="73"/>
      <c r="F50">
        <v>5</v>
      </c>
      <c r="G50">
        <f>'Sample Metadata'!H43</f>
        <v>0</v>
      </c>
      <c r="H50" s="73">
        <f>'Sample Metadata'!F43</f>
        <v>0</v>
      </c>
      <c r="J50" s="131" t="e">
        <f t="shared" ref="J50" si="2">((C50*E50)/F50)*(G50/H50)</f>
        <v>#VALUE!</v>
      </c>
      <c r="K50" s="132" t="e">
        <f t="shared" ref="K50" si="3">((D50*E50)/F50)*(G50/H50)</f>
        <v>#VALUE!</v>
      </c>
      <c r="L50" s="123" t="s">
        <v>84</v>
      </c>
    </row>
    <row r="51" spans="1:12" x14ac:dyDescent="0.2">
      <c r="C51" s="73"/>
      <c r="D51" s="73"/>
      <c r="E51" s="73"/>
      <c r="H51" s="73"/>
    </row>
    <row r="52" spans="1:12" x14ac:dyDescent="0.2">
      <c r="D52" s="73"/>
      <c r="E52" s="73"/>
      <c r="H52" s="73"/>
    </row>
    <row r="53" spans="1:12" x14ac:dyDescent="0.2">
      <c r="D53" s="73"/>
      <c r="E53" s="73"/>
      <c r="H53" s="73"/>
    </row>
    <row r="54" spans="1:12" x14ac:dyDescent="0.2">
      <c r="D54" s="73"/>
      <c r="E54" s="73"/>
      <c r="H54" s="73"/>
    </row>
    <row r="55" spans="1:12" x14ac:dyDescent="0.2">
      <c r="D55" s="73"/>
      <c r="E55" s="73"/>
      <c r="H55" s="73"/>
    </row>
    <row r="56" spans="1:12" x14ac:dyDescent="0.2">
      <c r="D56" s="73"/>
      <c r="E56" s="73"/>
      <c r="H56" s="73"/>
    </row>
    <row r="57" spans="1:12" x14ac:dyDescent="0.2">
      <c r="D57" s="73"/>
      <c r="E57" s="73"/>
      <c r="H57" s="73"/>
    </row>
    <row r="58" spans="1:12" x14ac:dyDescent="0.2">
      <c r="D58" s="73"/>
      <c r="E58" s="73"/>
      <c r="H58" s="73"/>
    </row>
    <row r="59" spans="1:12" x14ac:dyDescent="0.2">
      <c r="D59" s="73"/>
      <c r="E59" s="73"/>
      <c r="H59" s="73"/>
    </row>
    <row r="60" spans="1:12" x14ac:dyDescent="0.2">
      <c r="D60" s="73"/>
      <c r="E60" s="73"/>
      <c r="H60" s="73"/>
    </row>
    <row r="61" spans="1:12" x14ac:dyDescent="0.2">
      <c r="D61" s="73"/>
      <c r="E61" s="73"/>
      <c r="H61" s="73"/>
    </row>
    <row r="62" spans="1:12" x14ac:dyDescent="0.2">
      <c r="D62" s="73"/>
      <c r="E62" s="73"/>
      <c r="H62" s="73"/>
    </row>
    <row r="63" spans="1:12" x14ac:dyDescent="0.2">
      <c r="D63" s="73"/>
      <c r="E63" s="73"/>
      <c r="H63" s="73"/>
    </row>
    <row r="64" spans="1:12" x14ac:dyDescent="0.2">
      <c r="D64" s="73"/>
      <c r="E64" s="73"/>
      <c r="H64" s="73"/>
    </row>
    <row r="65" spans="4:8" x14ac:dyDescent="0.2">
      <c r="D65" s="73"/>
      <c r="E65" s="73"/>
      <c r="H65" s="73"/>
    </row>
    <row r="66" spans="4:8" x14ac:dyDescent="0.2">
      <c r="D66" s="73"/>
      <c r="E66" s="73"/>
      <c r="H66" s="73"/>
    </row>
    <row r="67" spans="4:8" x14ac:dyDescent="0.2">
      <c r="D67" s="73"/>
      <c r="E67" s="73"/>
      <c r="H67" s="73"/>
    </row>
    <row r="68" spans="4:8" x14ac:dyDescent="0.2">
      <c r="D68" s="73"/>
      <c r="E68" s="73"/>
      <c r="H68" s="73"/>
    </row>
    <row r="69" spans="4:8" x14ac:dyDescent="0.2">
      <c r="D69" s="73"/>
      <c r="E69" s="73"/>
      <c r="H69" s="73"/>
    </row>
    <row r="70" spans="4:8" x14ac:dyDescent="0.2">
      <c r="D70" s="73"/>
      <c r="E70" s="73"/>
      <c r="H70" s="73"/>
    </row>
    <row r="71" spans="4:8" x14ac:dyDescent="0.2">
      <c r="D71" s="73"/>
      <c r="E71" s="73"/>
      <c r="H71" s="73"/>
    </row>
    <row r="72" spans="4:8" x14ac:dyDescent="0.2">
      <c r="D72" s="73"/>
      <c r="E72" s="73"/>
      <c r="H72" s="73"/>
    </row>
    <row r="73" spans="4:8" x14ac:dyDescent="0.2">
      <c r="D73" s="73"/>
      <c r="E73" s="73"/>
      <c r="H73" s="73"/>
    </row>
    <row r="74" spans="4:8" x14ac:dyDescent="0.2">
      <c r="D74" s="73"/>
      <c r="E74" s="73"/>
      <c r="H74" s="73"/>
    </row>
    <row r="75" spans="4:8" x14ac:dyDescent="0.2">
      <c r="D75" s="73"/>
      <c r="E75" s="73"/>
      <c r="H75" s="73"/>
    </row>
    <row r="76" spans="4:8" x14ac:dyDescent="0.2">
      <c r="D76" s="73"/>
      <c r="E76" s="73"/>
      <c r="H76" s="73"/>
    </row>
    <row r="77" spans="4:8" x14ac:dyDescent="0.2">
      <c r="D77" s="73"/>
      <c r="E77" s="73"/>
      <c r="H77" s="73"/>
    </row>
    <row r="78" spans="4:8" x14ac:dyDescent="0.2">
      <c r="D78" s="73"/>
      <c r="E78" s="73"/>
      <c r="H78" s="73"/>
    </row>
    <row r="79" spans="4:8" x14ac:dyDescent="0.2">
      <c r="D79" s="73"/>
      <c r="E79" s="73"/>
      <c r="H79" s="73"/>
    </row>
    <row r="80" spans="4:8" x14ac:dyDescent="0.2">
      <c r="D80" s="73"/>
      <c r="E80" s="73"/>
      <c r="H80" s="73"/>
    </row>
    <row r="81" spans="4:8" x14ac:dyDescent="0.2">
      <c r="D81" s="73"/>
      <c r="E81" s="73"/>
      <c r="H81" s="73"/>
    </row>
    <row r="82" spans="4:8" x14ac:dyDescent="0.2">
      <c r="D82" s="73"/>
      <c r="E82" s="73"/>
      <c r="H82" s="73"/>
    </row>
    <row r="83" spans="4:8" x14ac:dyDescent="0.2">
      <c r="D83" s="73"/>
      <c r="E83" s="73"/>
      <c r="H83" s="73"/>
    </row>
    <row r="84" spans="4:8" x14ac:dyDescent="0.2">
      <c r="D84" s="73"/>
      <c r="E84" s="73"/>
      <c r="H84" s="73"/>
    </row>
    <row r="85" spans="4:8" x14ac:dyDescent="0.2">
      <c r="D85" s="73"/>
      <c r="E85" s="73"/>
      <c r="H85" s="73"/>
    </row>
    <row r="86" spans="4:8" x14ac:dyDescent="0.2">
      <c r="D86" s="73"/>
      <c r="E86" s="73"/>
      <c r="H86" s="73"/>
    </row>
    <row r="87" spans="4:8" x14ac:dyDescent="0.2">
      <c r="D87" s="73"/>
      <c r="E87" s="73"/>
      <c r="H87" s="73"/>
    </row>
    <row r="88" spans="4:8" x14ac:dyDescent="0.2">
      <c r="D88" s="73"/>
      <c r="E88" s="73"/>
      <c r="H88" s="73"/>
    </row>
    <row r="89" spans="4:8" x14ac:dyDescent="0.2">
      <c r="D89" s="73"/>
      <c r="E89" s="73"/>
      <c r="H89" s="73"/>
    </row>
    <row r="90" spans="4:8" x14ac:dyDescent="0.2">
      <c r="D90" s="73"/>
      <c r="E90" s="73"/>
      <c r="H90" s="73"/>
    </row>
    <row r="91" spans="4:8" x14ac:dyDescent="0.2">
      <c r="D91" s="73"/>
      <c r="E91" s="73"/>
      <c r="H91" s="73"/>
    </row>
    <row r="92" spans="4:8" x14ac:dyDescent="0.2">
      <c r="D92" s="73"/>
      <c r="E92" s="73"/>
      <c r="H92" s="73"/>
    </row>
    <row r="262" spans="1:1" x14ac:dyDescent="0.2">
      <c r="A262" t="str">
        <f>IF('Sample Metadata'!D255="","",'Sample Metadata'!D255)</f>
        <v/>
      </c>
    </row>
    <row r="263" spans="1:1" x14ac:dyDescent="0.2">
      <c r="A263" t="str">
        <f>IF('Sample Metadata'!D256="","",'Sample Metadata'!D256)</f>
        <v/>
      </c>
    </row>
    <row r="264" spans="1:1" x14ac:dyDescent="0.2">
      <c r="A264" t="str">
        <f>IF('Sample Metadata'!D257="","",'Sample Metadata'!D257)</f>
        <v/>
      </c>
    </row>
    <row r="265" spans="1:1" x14ac:dyDescent="0.2">
      <c r="A265" t="str">
        <f>IF('Sample Metadata'!D258="","",'Sample Metadata'!D258)</f>
        <v/>
      </c>
    </row>
    <row r="266" spans="1:1" x14ac:dyDescent="0.2">
      <c r="A266" t="str">
        <f>IF('Sample Metadata'!D259="","",'Sample Metadata'!D259)</f>
        <v/>
      </c>
    </row>
    <row r="267" spans="1:1" x14ac:dyDescent="0.2">
      <c r="A267" t="str">
        <f>IF('Sample Metadata'!D260="","",'Sample Metadata'!D260)</f>
        <v/>
      </c>
    </row>
    <row r="268" spans="1:1" x14ac:dyDescent="0.2">
      <c r="A268" t="str">
        <f>IF('Sample Metadata'!D261="","",'Sample Metadata'!D261)</f>
        <v/>
      </c>
    </row>
    <row r="269" spans="1:1" x14ac:dyDescent="0.2">
      <c r="A269" t="str">
        <f>IF('Sample Metadata'!D262="","",'Sample Metadata'!D262)</f>
        <v/>
      </c>
    </row>
    <row r="270" spans="1:1" x14ac:dyDescent="0.2">
      <c r="A270" t="str">
        <f>IF('Sample Metadata'!D263="","",'Sample Metadata'!D263)</f>
        <v/>
      </c>
    </row>
    <row r="271" spans="1:1" x14ac:dyDescent="0.2">
      <c r="A271" t="str">
        <f>IF('Sample Metadata'!D264="","",'Sample Metadata'!D264)</f>
        <v/>
      </c>
    </row>
    <row r="272" spans="1:1" x14ac:dyDescent="0.2">
      <c r="A272" t="str">
        <f>IF('Sample Metadata'!D265="","",'Sample Metadata'!D265)</f>
        <v/>
      </c>
    </row>
    <row r="273" spans="1:1" x14ac:dyDescent="0.2">
      <c r="A273" t="str">
        <f>IF('Sample Metadata'!D266="","",'Sample Metadata'!D266)</f>
        <v/>
      </c>
    </row>
    <row r="274" spans="1:1" x14ac:dyDescent="0.2">
      <c r="A274" t="str">
        <f>IF('Sample Metadata'!D267="","",'Sample Metadata'!D267)</f>
        <v/>
      </c>
    </row>
    <row r="275" spans="1:1" x14ac:dyDescent="0.2">
      <c r="A275" t="str">
        <f>IF('Sample Metadata'!D268="","",'Sample Metadata'!D268)</f>
        <v/>
      </c>
    </row>
    <row r="276" spans="1:1" x14ac:dyDescent="0.2">
      <c r="A276" t="str">
        <f>IF('Sample Metadata'!D269="","",'Sample Metadata'!D269)</f>
        <v/>
      </c>
    </row>
    <row r="277" spans="1:1" x14ac:dyDescent="0.2">
      <c r="A277" t="str">
        <f>IF('Sample Metadata'!D270="","",'Sample Metadata'!D270)</f>
        <v/>
      </c>
    </row>
    <row r="278" spans="1:1" x14ac:dyDescent="0.2">
      <c r="A278" t="str">
        <f>IF('Sample Metadata'!D271="","",'Sample Metadata'!D271)</f>
        <v/>
      </c>
    </row>
    <row r="279" spans="1:1" x14ac:dyDescent="0.2">
      <c r="A279" t="str">
        <f>IF('Sample Metadata'!D272="","",'Sample Metadata'!D272)</f>
        <v/>
      </c>
    </row>
    <row r="280" spans="1:1" x14ac:dyDescent="0.2">
      <c r="A280" t="str">
        <f>IF('Sample Metadata'!D273="","",'Sample Metadata'!D273)</f>
        <v/>
      </c>
    </row>
    <row r="281" spans="1:1" x14ac:dyDescent="0.2">
      <c r="A281" t="str">
        <f>IF('Sample Metadata'!D274="","",'Sample Metadata'!D274)</f>
        <v/>
      </c>
    </row>
    <row r="282" spans="1:1" x14ac:dyDescent="0.2">
      <c r="A282" t="str">
        <f>IF('Sample Metadata'!D275="","",'Sample Metadata'!D275)</f>
        <v/>
      </c>
    </row>
    <row r="283" spans="1:1" x14ac:dyDescent="0.2">
      <c r="A283" t="str">
        <f>IF('Sample Metadata'!D276="","",'Sample Metadata'!D276)</f>
        <v/>
      </c>
    </row>
    <row r="284" spans="1:1" x14ac:dyDescent="0.2">
      <c r="A284" t="str">
        <f>IF('Sample Metadata'!D277="","",'Sample Metadata'!D277)</f>
        <v/>
      </c>
    </row>
    <row r="285" spans="1:1" x14ac:dyDescent="0.2">
      <c r="A285" t="str">
        <f>IF('Sample Metadata'!D278="","",'Sample Metadata'!D278)</f>
        <v/>
      </c>
    </row>
    <row r="286" spans="1:1" x14ac:dyDescent="0.2">
      <c r="A286" t="str">
        <f>IF('Sample Metadata'!D279="","",'Sample Metadata'!D279)</f>
        <v/>
      </c>
    </row>
    <row r="287" spans="1:1" x14ac:dyDescent="0.2">
      <c r="A287" t="str">
        <f>IF('Sample Metadata'!D280="","",'Sample Metadata'!D280)</f>
        <v/>
      </c>
    </row>
    <row r="288" spans="1:1" x14ac:dyDescent="0.2">
      <c r="A288" t="str">
        <f>IF('Sample Metadata'!D281="","",'Sample Metadata'!D281)</f>
        <v/>
      </c>
    </row>
    <row r="289" spans="1:1" x14ac:dyDescent="0.2">
      <c r="A289" t="str">
        <f>IF('Sample Metadata'!D282="","",'Sample Metadata'!D282)</f>
        <v/>
      </c>
    </row>
    <row r="290" spans="1:1" x14ac:dyDescent="0.2">
      <c r="A290" t="str">
        <f>IF('Sample Metadata'!D283="","",'Sample Metadata'!D283)</f>
        <v/>
      </c>
    </row>
    <row r="291" spans="1:1" x14ac:dyDescent="0.2">
      <c r="A291" t="str">
        <f>IF('Sample Metadata'!D284="","",'Sample Metadata'!D284)</f>
        <v/>
      </c>
    </row>
    <row r="292" spans="1:1" x14ac:dyDescent="0.2">
      <c r="A292" t="str">
        <f>IF('Sample Metadata'!D285="","",'Sample Metadata'!D285)</f>
        <v/>
      </c>
    </row>
    <row r="293" spans="1:1" x14ac:dyDescent="0.2">
      <c r="A293" t="str">
        <f>IF('Sample Metadata'!D286="","",'Sample Metadata'!D286)</f>
        <v/>
      </c>
    </row>
    <row r="294" spans="1:1" x14ac:dyDescent="0.2">
      <c r="A294" t="str">
        <f>IF('Sample Metadata'!D287="","",'Sample Metadata'!D287)</f>
        <v/>
      </c>
    </row>
    <row r="295" spans="1:1" x14ac:dyDescent="0.2">
      <c r="A295" t="str">
        <f>IF('Sample Metadata'!D288="","",'Sample Metadata'!D288)</f>
        <v/>
      </c>
    </row>
    <row r="296" spans="1:1" x14ac:dyDescent="0.2">
      <c r="A296" t="str">
        <f>IF('Sample Metadata'!D289="","",'Sample Metadata'!D289)</f>
        <v/>
      </c>
    </row>
    <row r="297" spans="1:1" x14ac:dyDescent="0.2">
      <c r="A297" t="str">
        <f>IF('Sample Metadata'!D290="","",'Sample Metadata'!D290)</f>
        <v/>
      </c>
    </row>
    <row r="298" spans="1:1" x14ac:dyDescent="0.2">
      <c r="A298" t="str">
        <f>IF('Sample Metadata'!D291="","",'Sample Metadata'!D291)</f>
        <v/>
      </c>
    </row>
    <row r="299" spans="1:1" x14ac:dyDescent="0.2">
      <c r="A299" t="str">
        <f>IF('Sample Metadata'!D292="","",'Sample Metadata'!D292)</f>
        <v/>
      </c>
    </row>
    <row r="300" spans="1:1" x14ac:dyDescent="0.2">
      <c r="A300" t="str">
        <f>IF('Sample Metadata'!D293="","",'Sample Metadata'!D293)</f>
        <v/>
      </c>
    </row>
    <row r="301" spans="1:1" x14ac:dyDescent="0.2">
      <c r="A301" t="str">
        <f>IF('Sample Metadata'!D294="","",'Sample Metadata'!D294)</f>
        <v/>
      </c>
    </row>
    <row r="302" spans="1:1" x14ac:dyDescent="0.2">
      <c r="A302" t="str">
        <f>IF('Sample Metadata'!D295="","",'Sample Metadata'!D295)</f>
        <v/>
      </c>
    </row>
    <row r="303" spans="1:1" x14ac:dyDescent="0.2">
      <c r="A303" t="str">
        <f>IF('Sample Metadata'!D296="","",'Sample Metadata'!D296)</f>
        <v/>
      </c>
    </row>
    <row r="304" spans="1:1" x14ac:dyDescent="0.2">
      <c r="A304" t="str">
        <f>IF('Sample Metadata'!D297="","",'Sample Metadata'!D297)</f>
        <v/>
      </c>
    </row>
    <row r="305" spans="1:1" x14ac:dyDescent="0.2">
      <c r="A305" t="str">
        <f>IF('Sample Metadata'!D298="","",'Sample Metadata'!D298)</f>
        <v/>
      </c>
    </row>
    <row r="306" spans="1:1" x14ac:dyDescent="0.2">
      <c r="A306" t="str">
        <f>IF('Sample Metadata'!D299="","",'Sample Metadata'!D299)</f>
        <v/>
      </c>
    </row>
    <row r="307" spans="1:1" x14ac:dyDescent="0.2">
      <c r="A307" t="str">
        <f>IF('Sample Metadata'!D300="","",'Sample Metadata'!D300)</f>
        <v/>
      </c>
    </row>
    <row r="308" spans="1:1" x14ac:dyDescent="0.2">
      <c r="A308" t="str">
        <f>IF('Sample Metadata'!D301="","",'Sample Metadata'!D301)</f>
        <v/>
      </c>
    </row>
    <row r="309" spans="1:1" x14ac:dyDescent="0.2">
      <c r="A309" t="str">
        <f>IF('Sample Metadata'!D302="","",'Sample Metadata'!D302)</f>
        <v/>
      </c>
    </row>
    <row r="310" spans="1:1" x14ac:dyDescent="0.2">
      <c r="A310" t="str">
        <f>IF('Sample Metadata'!D303="","",'Sample Metadata'!D303)</f>
        <v/>
      </c>
    </row>
    <row r="311" spans="1:1" x14ac:dyDescent="0.2">
      <c r="A311" t="str">
        <f>IF('Sample Metadata'!D304="","",'Sample Metadata'!D304)</f>
        <v/>
      </c>
    </row>
    <row r="312" spans="1:1" x14ac:dyDescent="0.2">
      <c r="A312" t="str">
        <f>IF('Sample Metadata'!D305="","",'Sample Metadata'!D305)</f>
        <v/>
      </c>
    </row>
    <row r="313" spans="1:1" x14ac:dyDescent="0.2">
      <c r="A313" t="str">
        <f>IF('Sample Metadata'!D306="","",'Sample Metadata'!D306)</f>
        <v/>
      </c>
    </row>
    <row r="314" spans="1:1" x14ac:dyDescent="0.2">
      <c r="A314" t="str">
        <f>IF('Sample Metadata'!D307="","",'Sample Metadata'!D307)</f>
        <v/>
      </c>
    </row>
    <row r="315" spans="1:1" x14ac:dyDescent="0.2">
      <c r="A315" t="str">
        <f>IF('Sample Metadata'!D308="","",'Sample Metadata'!D308)</f>
        <v/>
      </c>
    </row>
    <row r="316" spans="1:1" x14ac:dyDescent="0.2">
      <c r="A316" t="str">
        <f>IF('Sample Metadata'!D309="","",'Sample Metadata'!D309)</f>
        <v/>
      </c>
    </row>
    <row r="317" spans="1:1" x14ac:dyDescent="0.2">
      <c r="A317" t="str">
        <f>IF('Sample Metadata'!D310="","",'Sample Metadata'!D310)</f>
        <v/>
      </c>
    </row>
    <row r="318" spans="1:1" x14ac:dyDescent="0.2">
      <c r="A318" t="str">
        <f>IF('Sample Metadata'!D311="","",'Sample Metadata'!D311)</f>
        <v/>
      </c>
    </row>
    <row r="319" spans="1:1" x14ac:dyDescent="0.2">
      <c r="A319" t="str">
        <f>IF('Sample Metadata'!D312="","",'Sample Metadata'!D312)</f>
        <v/>
      </c>
    </row>
    <row r="320" spans="1:1" x14ac:dyDescent="0.2">
      <c r="A320" t="str">
        <f>IF('Sample Metadata'!D313="","",'Sample Metadata'!D313)</f>
        <v/>
      </c>
    </row>
    <row r="321" spans="1:1" x14ac:dyDescent="0.2">
      <c r="A321" t="str">
        <f>IF('Sample Metadata'!D314="","",'Sample Metadata'!D314)</f>
        <v/>
      </c>
    </row>
    <row r="322" spans="1:1" x14ac:dyDescent="0.2">
      <c r="A322" t="str">
        <f>IF('Sample Metadata'!D315="","",'Sample Metadata'!D315)</f>
        <v/>
      </c>
    </row>
    <row r="323" spans="1:1" x14ac:dyDescent="0.2">
      <c r="A323" t="str">
        <f>IF('Sample Metadata'!D316="","",'Sample Metadata'!D316)</f>
        <v/>
      </c>
    </row>
    <row r="324" spans="1:1" x14ac:dyDescent="0.2">
      <c r="A324" t="str">
        <f>IF('Sample Metadata'!D317="","",'Sample Metadata'!D317)</f>
        <v/>
      </c>
    </row>
    <row r="325" spans="1:1" x14ac:dyDescent="0.2">
      <c r="A325" t="str">
        <f>IF('Sample Metadata'!D318="","",'Sample Metadata'!D318)</f>
        <v/>
      </c>
    </row>
    <row r="326" spans="1:1" x14ac:dyDescent="0.2">
      <c r="A326" t="str">
        <f>IF('Sample Metadata'!D319="","",'Sample Metadata'!D319)</f>
        <v/>
      </c>
    </row>
    <row r="327" spans="1:1" x14ac:dyDescent="0.2">
      <c r="A327" t="str">
        <f>IF('Sample Metadata'!D320="","",'Sample Metadata'!D320)</f>
        <v/>
      </c>
    </row>
    <row r="328" spans="1:1" x14ac:dyDescent="0.2">
      <c r="A328" t="str">
        <f>IF('Sample Metadata'!D321="","",'Sample Metadata'!D321)</f>
        <v/>
      </c>
    </row>
    <row r="329" spans="1:1" x14ac:dyDescent="0.2">
      <c r="A329" t="str">
        <f>IF('Sample Metadata'!D322="","",'Sample Metadata'!D322)</f>
        <v/>
      </c>
    </row>
    <row r="330" spans="1:1" x14ac:dyDescent="0.2">
      <c r="A330" t="str">
        <f>IF('Sample Metadata'!D323="","",'Sample Metadata'!D323)</f>
        <v/>
      </c>
    </row>
    <row r="331" spans="1:1" x14ac:dyDescent="0.2">
      <c r="A331" t="str">
        <f>IF('Sample Metadata'!D324="","",'Sample Metadata'!D324)</f>
        <v/>
      </c>
    </row>
    <row r="332" spans="1:1" x14ac:dyDescent="0.2">
      <c r="A332" t="str">
        <f>IF('Sample Metadata'!D325="","",'Sample Metadata'!D325)</f>
        <v/>
      </c>
    </row>
    <row r="333" spans="1:1" x14ac:dyDescent="0.2">
      <c r="A333" t="str">
        <f>IF('Sample Metadata'!D326="","",'Sample Metadata'!D326)</f>
        <v/>
      </c>
    </row>
    <row r="334" spans="1:1" x14ac:dyDescent="0.2">
      <c r="A334" t="str">
        <f>IF('Sample Metadata'!D327="","",'Sample Metadata'!D327)</f>
        <v/>
      </c>
    </row>
    <row r="335" spans="1:1" x14ac:dyDescent="0.2">
      <c r="A335" t="str">
        <f>IF('Sample Metadata'!D328="","",'Sample Metadata'!D328)</f>
        <v/>
      </c>
    </row>
    <row r="336" spans="1:1" x14ac:dyDescent="0.2">
      <c r="A336" t="str">
        <f>IF('Sample Metadata'!D329="","",'Sample Metadata'!D329)</f>
        <v/>
      </c>
    </row>
    <row r="337" spans="1:1" x14ac:dyDescent="0.2">
      <c r="A337" t="str">
        <f>IF('Sample Metadata'!D330="","",'Sample Metadata'!D330)</f>
        <v/>
      </c>
    </row>
    <row r="338" spans="1:1" x14ac:dyDescent="0.2">
      <c r="A338" t="str">
        <f>IF('Sample Metadata'!D331="","",'Sample Metadata'!D331)</f>
        <v/>
      </c>
    </row>
    <row r="339" spans="1:1" x14ac:dyDescent="0.2">
      <c r="A339" t="str">
        <f>IF('Sample Metadata'!D332="","",'Sample Metadata'!D332)</f>
        <v/>
      </c>
    </row>
    <row r="340" spans="1:1" x14ac:dyDescent="0.2">
      <c r="A340" t="str">
        <f>IF('Sample Metadata'!D333="","",'Sample Metadata'!D333)</f>
        <v/>
      </c>
    </row>
    <row r="341" spans="1:1" x14ac:dyDescent="0.2">
      <c r="A341" t="str">
        <f>IF('Sample Metadata'!D334="","",'Sample Metadata'!D334)</f>
        <v/>
      </c>
    </row>
    <row r="342" spans="1:1" x14ac:dyDescent="0.2">
      <c r="A342" t="str">
        <f>IF('Sample Metadata'!D335="","",'Sample Metadata'!D335)</f>
        <v/>
      </c>
    </row>
    <row r="343" spans="1:1" x14ac:dyDescent="0.2">
      <c r="A343" t="str">
        <f>IF('Sample Metadata'!D336="","",'Sample Metadata'!D336)</f>
        <v/>
      </c>
    </row>
    <row r="344" spans="1:1" x14ac:dyDescent="0.2">
      <c r="A344" t="str">
        <f>IF('Sample Metadata'!D337="","",'Sample Metadata'!D337)</f>
        <v/>
      </c>
    </row>
    <row r="345" spans="1:1" x14ac:dyDescent="0.2">
      <c r="A345" t="str">
        <f>IF('Sample Metadata'!D338="","",'Sample Metadata'!D338)</f>
        <v/>
      </c>
    </row>
    <row r="346" spans="1:1" x14ac:dyDescent="0.2">
      <c r="A346" t="str">
        <f>IF('Sample Metadata'!D339="","",'Sample Metadata'!D339)</f>
        <v/>
      </c>
    </row>
    <row r="347" spans="1:1" x14ac:dyDescent="0.2">
      <c r="A347" t="str">
        <f>IF('Sample Metadata'!D340="","",'Sample Metadata'!D340)</f>
        <v/>
      </c>
    </row>
    <row r="348" spans="1:1" x14ac:dyDescent="0.2">
      <c r="A348" t="str">
        <f>IF('Sample Metadata'!D341="","",'Sample Metadata'!D341)</f>
        <v/>
      </c>
    </row>
    <row r="349" spans="1:1" x14ac:dyDescent="0.2">
      <c r="A349" t="str">
        <f>IF('Sample Metadata'!D342="","",'Sample Metadata'!D342)</f>
        <v/>
      </c>
    </row>
    <row r="350" spans="1:1" x14ac:dyDescent="0.2">
      <c r="A350" t="str">
        <f>IF('Sample Metadata'!D343="","",'Sample Metadata'!D343)</f>
        <v/>
      </c>
    </row>
    <row r="351" spans="1:1" x14ac:dyDescent="0.2">
      <c r="A351" t="str">
        <f>IF('Sample Metadata'!D344="","",'Sample Metadata'!D344)</f>
        <v/>
      </c>
    </row>
    <row r="352" spans="1:1" x14ac:dyDescent="0.2">
      <c r="A352" t="str">
        <f>IF('Sample Metadata'!D345="","",'Sample Metadata'!D345)</f>
        <v/>
      </c>
    </row>
    <row r="353" spans="1:1" x14ac:dyDescent="0.2">
      <c r="A353" t="str">
        <f>IF('Sample Metadata'!D346="","",'Sample Metadata'!D346)</f>
        <v/>
      </c>
    </row>
    <row r="354" spans="1:1" x14ac:dyDescent="0.2">
      <c r="A354" t="str">
        <f>IF('Sample Metadata'!D347="","",'Sample Metadata'!D347)</f>
        <v/>
      </c>
    </row>
    <row r="355" spans="1:1" x14ac:dyDescent="0.2">
      <c r="A355" t="str">
        <f>IF('Sample Metadata'!D348="","",'Sample Metadata'!D348)</f>
        <v/>
      </c>
    </row>
    <row r="356" spans="1:1" x14ac:dyDescent="0.2">
      <c r="A356" t="str">
        <f>IF('Sample Metadata'!D349="","",'Sample Metadata'!D349)</f>
        <v/>
      </c>
    </row>
    <row r="357" spans="1:1" x14ac:dyDescent="0.2">
      <c r="A357" t="str">
        <f>IF('Sample Metadata'!D350="","",'Sample Metadata'!D350)</f>
        <v/>
      </c>
    </row>
    <row r="358" spans="1:1" x14ac:dyDescent="0.2">
      <c r="A358" t="str">
        <f>IF('Sample Metadata'!D351="","",'Sample Metadata'!D351)</f>
        <v/>
      </c>
    </row>
    <row r="359" spans="1:1" x14ac:dyDescent="0.2">
      <c r="A359" t="str">
        <f>IF('Sample Metadata'!D352="","",'Sample Metadata'!D352)</f>
        <v/>
      </c>
    </row>
    <row r="360" spans="1:1" x14ac:dyDescent="0.2">
      <c r="A360" t="str">
        <f>IF('Sample Metadata'!D353="","",'Sample Metadata'!D353)</f>
        <v/>
      </c>
    </row>
    <row r="361" spans="1:1" x14ac:dyDescent="0.2">
      <c r="A361" t="str">
        <f>IF('Sample Metadata'!D354="","",'Sample Metadata'!D354)</f>
        <v/>
      </c>
    </row>
    <row r="362" spans="1:1" x14ac:dyDescent="0.2">
      <c r="A362" t="str">
        <f>IF('Sample Metadata'!D355="","",'Sample Metadata'!D355)</f>
        <v/>
      </c>
    </row>
    <row r="363" spans="1:1" x14ac:dyDescent="0.2">
      <c r="A363" t="str">
        <f>IF('Sample Metadata'!D356="","",'Sample Metadata'!D356)</f>
        <v/>
      </c>
    </row>
    <row r="364" spans="1:1" x14ac:dyDescent="0.2">
      <c r="A364" t="str">
        <f>IF('Sample Metadata'!D357="","",'Sample Metadata'!D357)</f>
        <v/>
      </c>
    </row>
    <row r="365" spans="1:1" x14ac:dyDescent="0.2">
      <c r="A365" t="str">
        <f>IF('Sample Metadata'!D358="","",'Sample Metadata'!D358)</f>
        <v/>
      </c>
    </row>
    <row r="366" spans="1:1" x14ac:dyDescent="0.2">
      <c r="A366" t="str">
        <f>IF('Sample Metadata'!D359="","",'Sample Metadata'!D359)</f>
        <v/>
      </c>
    </row>
    <row r="367" spans="1:1" x14ac:dyDescent="0.2">
      <c r="A367" t="str">
        <f>IF('Sample Metadata'!D360="","",'Sample Metadata'!D360)</f>
        <v/>
      </c>
    </row>
    <row r="368" spans="1:1" x14ac:dyDescent="0.2">
      <c r="A368" t="str">
        <f>IF('Sample Metadata'!D361="","",'Sample Metadata'!D361)</f>
        <v/>
      </c>
    </row>
    <row r="369" spans="1:1" x14ac:dyDescent="0.2">
      <c r="A369" t="str">
        <f>IF('Sample Metadata'!D362="","",'Sample Metadata'!D362)</f>
        <v/>
      </c>
    </row>
    <row r="370" spans="1:1" x14ac:dyDescent="0.2">
      <c r="A370" t="str">
        <f>IF('Sample Metadata'!D363="","",'Sample Metadata'!D363)</f>
        <v/>
      </c>
    </row>
    <row r="371" spans="1:1" x14ac:dyDescent="0.2">
      <c r="A371" t="str">
        <f>IF('Sample Metadata'!D364="","",'Sample Metadata'!D364)</f>
        <v/>
      </c>
    </row>
    <row r="372" spans="1:1" x14ac:dyDescent="0.2">
      <c r="A372" t="str">
        <f>IF('Sample Metadata'!D365="","",'Sample Metadata'!D365)</f>
        <v/>
      </c>
    </row>
    <row r="373" spans="1:1" x14ac:dyDescent="0.2">
      <c r="A373" t="str">
        <f>IF('Sample Metadata'!D366="","",'Sample Metadata'!D366)</f>
        <v/>
      </c>
    </row>
    <row r="374" spans="1:1" x14ac:dyDescent="0.2">
      <c r="A374" t="str">
        <f>IF('Sample Metadata'!D367="","",'Sample Metadata'!D367)</f>
        <v/>
      </c>
    </row>
    <row r="375" spans="1:1" x14ac:dyDescent="0.2">
      <c r="A375" t="str">
        <f>IF('Sample Metadata'!D368="","",'Sample Metadata'!D368)</f>
        <v/>
      </c>
    </row>
    <row r="376" spans="1:1" x14ac:dyDescent="0.2">
      <c r="A376" t="str">
        <f>IF('Sample Metadata'!D369="","",'Sample Metadata'!D369)</f>
        <v/>
      </c>
    </row>
    <row r="377" spans="1:1" x14ac:dyDescent="0.2">
      <c r="A377" t="str">
        <f>IF('Sample Metadata'!D370="","",'Sample Metadata'!D370)</f>
        <v/>
      </c>
    </row>
    <row r="378" spans="1:1" x14ac:dyDescent="0.2">
      <c r="A378" t="str">
        <f>IF('Sample Metadata'!D371="","",'Sample Metadata'!D371)</f>
        <v/>
      </c>
    </row>
    <row r="379" spans="1:1" x14ac:dyDescent="0.2">
      <c r="A379" t="str">
        <f>IF('Sample Metadata'!D372="","",'Sample Metadata'!D372)</f>
        <v/>
      </c>
    </row>
    <row r="380" spans="1:1" x14ac:dyDescent="0.2">
      <c r="A380" t="str">
        <f>IF('Sample Metadata'!D373="","",'Sample Metadata'!D373)</f>
        <v/>
      </c>
    </row>
    <row r="381" spans="1:1" x14ac:dyDescent="0.2">
      <c r="A381" t="str">
        <f>IF('Sample Metadata'!D374="","",'Sample Metadata'!D374)</f>
        <v/>
      </c>
    </row>
    <row r="382" spans="1:1" x14ac:dyDescent="0.2">
      <c r="A382" t="str">
        <f>IF('Sample Metadata'!D375="","",'Sample Metadata'!D375)</f>
        <v/>
      </c>
    </row>
    <row r="383" spans="1:1" x14ac:dyDescent="0.2">
      <c r="A383" t="str">
        <f>IF('Sample Metadata'!D376="","",'Sample Metadata'!D376)</f>
        <v/>
      </c>
    </row>
    <row r="384" spans="1:1" x14ac:dyDescent="0.2">
      <c r="A384" t="str">
        <f>IF('Sample Metadata'!D377="","",'Sample Metadata'!D377)</f>
        <v/>
      </c>
    </row>
    <row r="385" spans="1:1" x14ac:dyDescent="0.2">
      <c r="A385" t="str">
        <f>IF('Sample Metadata'!D378="","",'Sample Metadata'!D378)</f>
        <v/>
      </c>
    </row>
    <row r="386" spans="1:1" x14ac:dyDescent="0.2">
      <c r="A386" t="str">
        <f>IF('Sample Metadata'!D379="","",'Sample Metadata'!D379)</f>
        <v/>
      </c>
    </row>
    <row r="387" spans="1:1" x14ac:dyDescent="0.2">
      <c r="A387" t="str">
        <f>IF('Sample Metadata'!D380="","",'Sample Metadata'!D380)</f>
        <v/>
      </c>
    </row>
    <row r="388" spans="1:1" x14ac:dyDescent="0.2">
      <c r="A388" t="str">
        <f>IF('Sample Metadata'!D381="","",'Sample Metadata'!D381)</f>
        <v/>
      </c>
    </row>
    <row r="389" spans="1:1" x14ac:dyDescent="0.2">
      <c r="A389" t="str">
        <f>IF('Sample Metadata'!D382="","",'Sample Metadata'!D382)</f>
        <v/>
      </c>
    </row>
    <row r="390" spans="1:1" x14ac:dyDescent="0.2">
      <c r="A390" t="str">
        <f>IF('Sample Metadata'!D383="","",'Sample Metadata'!D383)</f>
        <v/>
      </c>
    </row>
    <row r="391" spans="1:1" x14ac:dyDescent="0.2">
      <c r="A391" t="str">
        <f>IF('Sample Metadata'!D384="","",'Sample Metadata'!D384)</f>
        <v/>
      </c>
    </row>
    <row r="392" spans="1:1" x14ac:dyDescent="0.2">
      <c r="A392" t="str">
        <f>IF('Sample Metadata'!D385="","",'Sample Metadata'!D385)</f>
        <v/>
      </c>
    </row>
    <row r="393" spans="1:1" x14ac:dyDescent="0.2">
      <c r="A393" t="str">
        <f>IF('Sample Metadata'!D386="","",'Sample Metadata'!D386)</f>
        <v/>
      </c>
    </row>
    <row r="394" spans="1:1" x14ac:dyDescent="0.2">
      <c r="A394" t="str">
        <f>IF('Sample Metadata'!D387="","",'Sample Metadata'!D387)</f>
        <v/>
      </c>
    </row>
    <row r="395" spans="1:1" x14ac:dyDescent="0.2">
      <c r="A395" t="str">
        <f>IF('Sample Metadata'!D388="","",'Sample Metadata'!D388)</f>
        <v/>
      </c>
    </row>
    <row r="396" spans="1:1" x14ac:dyDescent="0.2">
      <c r="A396" t="str">
        <f>IF('Sample Metadata'!D389="","",'Sample Metadata'!D389)</f>
        <v/>
      </c>
    </row>
    <row r="397" spans="1:1" x14ac:dyDescent="0.2">
      <c r="A397" t="str">
        <f>IF('Sample Metadata'!D390="","",'Sample Metadata'!D390)</f>
        <v/>
      </c>
    </row>
    <row r="398" spans="1:1" x14ac:dyDescent="0.2">
      <c r="A398" t="str">
        <f>IF('Sample Metadata'!D391="","",'Sample Metadata'!D391)</f>
        <v/>
      </c>
    </row>
    <row r="399" spans="1:1" x14ac:dyDescent="0.2">
      <c r="A399" t="str">
        <f>IF('Sample Metadata'!D392="","",'Sample Metadata'!D392)</f>
        <v/>
      </c>
    </row>
    <row r="400" spans="1:1" x14ac:dyDescent="0.2">
      <c r="A400" t="str">
        <f>IF('Sample Metadata'!D393="","",'Sample Metadata'!D393)</f>
        <v/>
      </c>
    </row>
    <row r="401" spans="1:1" x14ac:dyDescent="0.2">
      <c r="A401" t="str">
        <f>IF('Sample Metadata'!D394="","",'Sample Metadata'!D394)</f>
        <v/>
      </c>
    </row>
    <row r="402" spans="1:1" x14ac:dyDescent="0.2">
      <c r="A402" t="str">
        <f>IF('Sample Metadata'!D395="","",'Sample Metadata'!D395)</f>
        <v/>
      </c>
    </row>
    <row r="403" spans="1:1" x14ac:dyDescent="0.2">
      <c r="A403" t="str">
        <f>IF('Sample Metadata'!D396="","",'Sample Metadata'!D396)</f>
        <v/>
      </c>
    </row>
    <row r="404" spans="1:1" x14ac:dyDescent="0.2">
      <c r="A404" t="str">
        <f>IF('Sample Metadata'!D397="","",'Sample Metadata'!D397)</f>
        <v/>
      </c>
    </row>
    <row r="405" spans="1:1" x14ac:dyDescent="0.2">
      <c r="A405" t="str">
        <f>IF('Sample Metadata'!D398="","",'Sample Metadata'!D398)</f>
        <v/>
      </c>
    </row>
    <row r="406" spans="1:1" x14ac:dyDescent="0.2">
      <c r="A406" t="str">
        <f>IF('Sample Metadata'!D399="","",'Sample Metadata'!D399)</f>
        <v/>
      </c>
    </row>
    <row r="407" spans="1:1" x14ac:dyDescent="0.2">
      <c r="A407" t="str">
        <f>IF('Sample Metadata'!D400="","",'Sample Metadata'!D400)</f>
        <v/>
      </c>
    </row>
    <row r="408" spans="1:1" x14ac:dyDescent="0.2">
      <c r="A408" t="str">
        <f>IF('Sample Metadata'!D401="","",'Sample Metadata'!D401)</f>
        <v/>
      </c>
    </row>
    <row r="409" spans="1:1" x14ac:dyDescent="0.2">
      <c r="A409" t="str">
        <f>IF('Sample Metadata'!D402="","",'Sample Metadata'!D402)</f>
        <v/>
      </c>
    </row>
    <row r="410" spans="1:1" x14ac:dyDescent="0.2">
      <c r="A410" t="str">
        <f>IF('Sample Metadata'!D403="","",'Sample Metadata'!D403)</f>
        <v/>
      </c>
    </row>
    <row r="411" spans="1:1" x14ac:dyDescent="0.2">
      <c r="A411" t="str">
        <f>IF('Sample Metadata'!D404="","",'Sample Metadata'!D404)</f>
        <v/>
      </c>
    </row>
    <row r="412" spans="1:1" x14ac:dyDescent="0.2">
      <c r="A412" t="str">
        <f>IF('Sample Metadata'!D405="","",'Sample Metadata'!D405)</f>
        <v/>
      </c>
    </row>
    <row r="413" spans="1:1" x14ac:dyDescent="0.2">
      <c r="A413" t="str">
        <f>IF('Sample Metadata'!D406="","",'Sample Metadata'!D406)</f>
        <v/>
      </c>
    </row>
    <row r="414" spans="1:1" x14ac:dyDescent="0.2">
      <c r="A414" t="str">
        <f>IF('Sample Metadata'!D407="","",'Sample Metadata'!D407)</f>
        <v/>
      </c>
    </row>
    <row r="415" spans="1:1" x14ac:dyDescent="0.2">
      <c r="A415" t="str">
        <f>IF('Sample Metadata'!D408="","",'Sample Metadata'!D408)</f>
        <v/>
      </c>
    </row>
    <row r="416" spans="1:1" x14ac:dyDescent="0.2">
      <c r="A416" t="str">
        <f>IF('Sample Metadata'!D409="","",'Sample Metadata'!D409)</f>
        <v/>
      </c>
    </row>
    <row r="417" spans="1:1" x14ac:dyDescent="0.2">
      <c r="A417" t="str">
        <f>IF('Sample Metadata'!D410="","",'Sample Metadata'!D410)</f>
        <v/>
      </c>
    </row>
    <row r="418" spans="1:1" x14ac:dyDescent="0.2">
      <c r="A418" t="str">
        <f>IF('Sample Metadata'!D411="","",'Sample Metadata'!D411)</f>
        <v/>
      </c>
    </row>
    <row r="419" spans="1:1" x14ac:dyDescent="0.2">
      <c r="A419" t="str">
        <f>IF('Sample Metadata'!D412="","",'Sample Metadata'!D412)</f>
        <v/>
      </c>
    </row>
    <row r="420" spans="1:1" x14ac:dyDescent="0.2">
      <c r="A420" t="str">
        <f>IF('Sample Metadata'!D413="","",'Sample Metadata'!D413)</f>
        <v/>
      </c>
    </row>
    <row r="421" spans="1:1" x14ac:dyDescent="0.2">
      <c r="A421" t="str">
        <f>IF('Sample Metadata'!D414="","",'Sample Metadata'!D414)</f>
        <v/>
      </c>
    </row>
    <row r="422" spans="1:1" x14ac:dyDescent="0.2">
      <c r="A422" t="str">
        <f>IF('Sample Metadata'!D415="","",'Sample Metadata'!D415)</f>
        <v/>
      </c>
    </row>
    <row r="423" spans="1:1" x14ac:dyDescent="0.2">
      <c r="A423" t="str">
        <f>IF('Sample Metadata'!D416="","",'Sample Metadata'!D416)</f>
        <v/>
      </c>
    </row>
    <row r="424" spans="1:1" x14ac:dyDescent="0.2">
      <c r="A424" t="str">
        <f>IF('Sample Metadata'!D417="","",'Sample Metadata'!D417)</f>
        <v/>
      </c>
    </row>
    <row r="425" spans="1:1" x14ac:dyDescent="0.2">
      <c r="A425" t="str">
        <f>IF('Sample Metadata'!D418="","",'Sample Metadata'!D418)</f>
        <v/>
      </c>
    </row>
    <row r="426" spans="1:1" x14ac:dyDescent="0.2">
      <c r="A426" t="str">
        <f>IF('Sample Metadata'!D419="","",'Sample Metadata'!D419)</f>
        <v/>
      </c>
    </row>
    <row r="427" spans="1:1" x14ac:dyDescent="0.2">
      <c r="A427" t="str">
        <f>IF('Sample Metadata'!D420="","",'Sample Metadata'!D420)</f>
        <v/>
      </c>
    </row>
    <row r="428" spans="1:1" x14ac:dyDescent="0.2">
      <c r="A428" t="str">
        <f>IF('Sample Metadata'!D421="","",'Sample Metadata'!D421)</f>
        <v/>
      </c>
    </row>
    <row r="429" spans="1:1" x14ac:dyDescent="0.2">
      <c r="A429" t="str">
        <f>IF('Sample Metadata'!D422="","",'Sample Metadata'!D422)</f>
        <v/>
      </c>
    </row>
    <row r="430" spans="1:1" x14ac:dyDescent="0.2">
      <c r="A430" t="str">
        <f>IF('Sample Metadata'!D423="","",'Sample Metadata'!D423)</f>
        <v/>
      </c>
    </row>
    <row r="431" spans="1:1" x14ac:dyDescent="0.2">
      <c r="A431" t="str">
        <f>IF('Sample Metadata'!D424="","",'Sample Metadata'!D424)</f>
        <v/>
      </c>
    </row>
    <row r="432" spans="1:1" x14ac:dyDescent="0.2">
      <c r="A432" t="str">
        <f>IF('Sample Metadata'!D425="","",'Sample Metadata'!D425)</f>
        <v/>
      </c>
    </row>
    <row r="433" spans="1:1" x14ac:dyDescent="0.2">
      <c r="A433" t="str">
        <f>IF('Sample Metadata'!D426="","",'Sample Metadata'!D426)</f>
        <v/>
      </c>
    </row>
    <row r="434" spans="1:1" x14ac:dyDescent="0.2">
      <c r="A434" t="str">
        <f>IF('Sample Metadata'!D427="","",'Sample Metadata'!D427)</f>
        <v/>
      </c>
    </row>
    <row r="435" spans="1:1" x14ac:dyDescent="0.2">
      <c r="A435" t="str">
        <f>IF('Sample Metadata'!D428="","",'Sample Metadata'!D428)</f>
        <v/>
      </c>
    </row>
    <row r="436" spans="1:1" x14ac:dyDescent="0.2">
      <c r="A436" t="str">
        <f>IF('Sample Metadata'!D429="","",'Sample Metadata'!D429)</f>
        <v/>
      </c>
    </row>
    <row r="437" spans="1:1" x14ac:dyDescent="0.2">
      <c r="A437" t="str">
        <f>IF('Sample Metadata'!D430="","",'Sample Metadata'!D430)</f>
        <v/>
      </c>
    </row>
    <row r="438" spans="1:1" x14ac:dyDescent="0.2">
      <c r="A438" t="str">
        <f>IF('Sample Metadata'!D431="","",'Sample Metadata'!D431)</f>
        <v/>
      </c>
    </row>
    <row r="439" spans="1:1" x14ac:dyDescent="0.2">
      <c r="A439" t="str">
        <f>IF('Sample Metadata'!D432="","",'Sample Metadata'!D432)</f>
        <v/>
      </c>
    </row>
    <row r="440" spans="1:1" x14ac:dyDescent="0.2">
      <c r="A440" t="str">
        <f>IF('Sample Metadata'!D433="","",'Sample Metadata'!D433)</f>
        <v/>
      </c>
    </row>
    <row r="441" spans="1:1" x14ac:dyDescent="0.2">
      <c r="A441" t="str">
        <f>IF('Sample Metadata'!D434="","",'Sample Metadata'!D434)</f>
        <v/>
      </c>
    </row>
    <row r="442" spans="1:1" x14ac:dyDescent="0.2">
      <c r="A442" t="str">
        <f>IF('Sample Metadata'!D435="","",'Sample Metadata'!D435)</f>
        <v/>
      </c>
    </row>
    <row r="443" spans="1:1" x14ac:dyDescent="0.2">
      <c r="A443" t="str">
        <f>IF('Sample Metadata'!D436="","",'Sample Metadata'!D436)</f>
        <v/>
      </c>
    </row>
    <row r="444" spans="1:1" x14ac:dyDescent="0.2">
      <c r="A444" t="str">
        <f>IF('Sample Metadata'!D437="","",'Sample Metadata'!D437)</f>
        <v/>
      </c>
    </row>
    <row r="445" spans="1:1" x14ac:dyDescent="0.2">
      <c r="A445" t="str">
        <f>IF('Sample Metadata'!D438="","",'Sample Metadata'!D438)</f>
        <v/>
      </c>
    </row>
    <row r="446" spans="1:1" x14ac:dyDescent="0.2">
      <c r="A446" t="str">
        <f>IF('Sample Metadata'!D439="","",'Sample Metadata'!D439)</f>
        <v/>
      </c>
    </row>
    <row r="447" spans="1:1" x14ac:dyDescent="0.2">
      <c r="A447" t="str">
        <f>IF('Sample Metadata'!D440="","",'Sample Metadata'!D440)</f>
        <v/>
      </c>
    </row>
    <row r="448" spans="1:1" x14ac:dyDescent="0.2">
      <c r="A448" t="str">
        <f>IF('Sample Metadata'!D441="","",'Sample Metadata'!D441)</f>
        <v/>
      </c>
    </row>
    <row r="449" spans="1:1" x14ac:dyDescent="0.2">
      <c r="A449" t="str">
        <f>IF('Sample Metadata'!D442="","",'Sample Metadata'!D442)</f>
        <v/>
      </c>
    </row>
    <row r="450" spans="1:1" x14ac:dyDescent="0.2">
      <c r="A450" t="str">
        <f>IF('Sample Metadata'!D443="","",'Sample Metadata'!D443)</f>
        <v/>
      </c>
    </row>
    <row r="451" spans="1:1" x14ac:dyDescent="0.2">
      <c r="A451" t="str">
        <f>IF('Sample Metadata'!D444="","",'Sample Metadata'!D444)</f>
        <v/>
      </c>
    </row>
    <row r="452" spans="1:1" x14ac:dyDescent="0.2">
      <c r="A452" t="str">
        <f>IF('Sample Metadata'!D445="","",'Sample Metadata'!D445)</f>
        <v/>
      </c>
    </row>
    <row r="453" spans="1:1" x14ac:dyDescent="0.2">
      <c r="A453" t="str">
        <f>IF('Sample Metadata'!D446="","",'Sample Metadata'!D446)</f>
        <v/>
      </c>
    </row>
    <row r="454" spans="1:1" x14ac:dyDescent="0.2">
      <c r="A454" t="str">
        <f>IF('Sample Metadata'!D447="","",'Sample Metadata'!D447)</f>
        <v/>
      </c>
    </row>
    <row r="455" spans="1:1" x14ac:dyDescent="0.2">
      <c r="A455" t="str">
        <f>IF('Sample Metadata'!D448="","",'Sample Metadata'!D448)</f>
        <v/>
      </c>
    </row>
    <row r="456" spans="1:1" x14ac:dyDescent="0.2">
      <c r="A456" t="str">
        <f>IF('Sample Metadata'!D449="","",'Sample Metadata'!D449)</f>
        <v/>
      </c>
    </row>
    <row r="457" spans="1:1" x14ac:dyDescent="0.2">
      <c r="A457" t="str">
        <f>IF('Sample Metadata'!D450="","",'Sample Metadata'!D450)</f>
        <v/>
      </c>
    </row>
    <row r="458" spans="1:1" x14ac:dyDescent="0.2">
      <c r="A458" t="str">
        <f>IF('Sample Metadata'!D451="","",'Sample Metadata'!D451)</f>
        <v/>
      </c>
    </row>
    <row r="459" spans="1:1" x14ac:dyDescent="0.2">
      <c r="A459" t="str">
        <f>IF('Sample Metadata'!D452="","",'Sample Metadata'!D452)</f>
        <v/>
      </c>
    </row>
    <row r="460" spans="1:1" x14ac:dyDescent="0.2">
      <c r="A460" t="str">
        <f>IF('Sample Metadata'!D453="","",'Sample Metadata'!D453)</f>
        <v/>
      </c>
    </row>
    <row r="461" spans="1:1" x14ac:dyDescent="0.2">
      <c r="A461" t="str">
        <f>IF('Sample Metadata'!D454="","",'Sample Metadata'!D454)</f>
        <v/>
      </c>
    </row>
    <row r="462" spans="1:1" x14ac:dyDescent="0.2">
      <c r="A462" t="str">
        <f>IF('Sample Metadata'!D455="","",'Sample Metadata'!D455)</f>
        <v/>
      </c>
    </row>
    <row r="463" spans="1:1" x14ac:dyDescent="0.2">
      <c r="A463" t="str">
        <f>IF('Sample Metadata'!D456="","",'Sample Metadata'!D456)</f>
        <v/>
      </c>
    </row>
    <row r="464" spans="1:1" x14ac:dyDescent="0.2">
      <c r="A464" t="str">
        <f>IF('Sample Metadata'!D457="","",'Sample Metadata'!D457)</f>
        <v/>
      </c>
    </row>
    <row r="465" spans="1:1" x14ac:dyDescent="0.2">
      <c r="A465" t="str">
        <f>IF('Sample Metadata'!D458="","",'Sample Metadata'!D458)</f>
        <v/>
      </c>
    </row>
    <row r="466" spans="1:1" x14ac:dyDescent="0.2">
      <c r="A466" t="str">
        <f>IF('Sample Metadata'!D459="","",'Sample Metadata'!D459)</f>
        <v/>
      </c>
    </row>
    <row r="467" spans="1:1" x14ac:dyDescent="0.2">
      <c r="A467" t="str">
        <f>IF('Sample Metadata'!D460="","",'Sample Metadata'!D460)</f>
        <v/>
      </c>
    </row>
    <row r="468" spans="1:1" x14ac:dyDescent="0.2">
      <c r="A468" t="str">
        <f>IF('Sample Metadata'!D461="","",'Sample Metadata'!D461)</f>
        <v/>
      </c>
    </row>
    <row r="469" spans="1:1" x14ac:dyDescent="0.2">
      <c r="A469" t="str">
        <f>IF('Sample Metadata'!D462="","",'Sample Metadata'!D462)</f>
        <v/>
      </c>
    </row>
    <row r="470" spans="1:1" x14ac:dyDescent="0.2">
      <c r="A470" t="str">
        <f>IF('Sample Metadata'!D463="","",'Sample Metadata'!D463)</f>
        <v/>
      </c>
    </row>
    <row r="471" spans="1:1" x14ac:dyDescent="0.2">
      <c r="A471" t="str">
        <f>IF('Sample Metadata'!D464="","",'Sample Metadata'!D464)</f>
        <v/>
      </c>
    </row>
    <row r="472" spans="1:1" x14ac:dyDescent="0.2">
      <c r="A472" t="str">
        <f>IF('Sample Metadata'!D465="","",'Sample Metadata'!D465)</f>
        <v/>
      </c>
    </row>
    <row r="473" spans="1:1" x14ac:dyDescent="0.2">
      <c r="A473" t="str">
        <f>IF('Sample Metadata'!D466="","",'Sample Metadata'!D466)</f>
        <v/>
      </c>
    </row>
    <row r="474" spans="1:1" x14ac:dyDescent="0.2">
      <c r="A474" t="str">
        <f>IF('Sample Metadata'!D467="","",'Sample Metadata'!D467)</f>
        <v/>
      </c>
    </row>
    <row r="475" spans="1:1" x14ac:dyDescent="0.2">
      <c r="A475" t="str">
        <f>IF('Sample Metadata'!D468="","",'Sample Metadata'!D468)</f>
        <v/>
      </c>
    </row>
    <row r="476" spans="1:1" x14ac:dyDescent="0.2">
      <c r="A476" t="str">
        <f>IF('Sample Metadata'!D469="","",'Sample Metadata'!D469)</f>
        <v/>
      </c>
    </row>
    <row r="477" spans="1:1" x14ac:dyDescent="0.2">
      <c r="A477" t="str">
        <f>IF('Sample Metadata'!D470="","",'Sample Metadata'!D470)</f>
        <v/>
      </c>
    </row>
    <row r="478" spans="1:1" x14ac:dyDescent="0.2">
      <c r="A478" t="str">
        <f>IF('Sample Metadata'!D471="","",'Sample Metadata'!D471)</f>
        <v/>
      </c>
    </row>
    <row r="479" spans="1:1" x14ac:dyDescent="0.2">
      <c r="A479" t="str">
        <f>IF('Sample Metadata'!D472="","",'Sample Metadata'!D472)</f>
        <v/>
      </c>
    </row>
    <row r="480" spans="1:1" x14ac:dyDescent="0.2">
      <c r="A480" t="str">
        <f>IF('Sample Metadata'!D473="","",'Sample Metadata'!D473)</f>
        <v/>
      </c>
    </row>
    <row r="481" spans="1:1" x14ac:dyDescent="0.2">
      <c r="A481" t="str">
        <f>IF('Sample Metadata'!D474="","",'Sample Metadata'!D474)</f>
        <v/>
      </c>
    </row>
    <row r="482" spans="1:1" x14ac:dyDescent="0.2">
      <c r="A482" t="str">
        <f>IF('Sample Metadata'!D475="","",'Sample Metadata'!D475)</f>
        <v/>
      </c>
    </row>
    <row r="483" spans="1:1" x14ac:dyDescent="0.2">
      <c r="A483" t="str">
        <f>IF('Sample Metadata'!D476="","",'Sample Metadata'!D476)</f>
        <v/>
      </c>
    </row>
    <row r="484" spans="1:1" x14ac:dyDescent="0.2">
      <c r="A484" t="str">
        <f>IF('Sample Metadata'!D477="","",'Sample Metadata'!D477)</f>
        <v/>
      </c>
    </row>
    <row r="485" spans="1:1" x14ac:dyDescent="0.2">
      <c r="A485" t="str">
        <f>IF('Sample Metadata'!D478="","",'Sample Metadata'!D478)</f>
        <v/>
      </c>
    </row>
    <row r="486" spans="1:1" x14ac:dyDescent="0.2">
      <c r="A486" t="str">
        <f>IF('Sample Metadata'!D479="","",'Sample Metadata'!D479)</f>
        <v/>
      </c>
    </row>
    <row r="487" spans="1:1" x14ac:dyDescent="0.2">
      <c r="A487" t="str">
        <f>IF('Sample Metadata'!D480="","",'Sample Metadata'!D480)</f>
        <v/>
      </c>
    </row>
    <row r="488" spans="1:1" x14ac:dyDescent="0.2">
      <c r="A488" t="str">
        <f>IF('Sample Metadata'!D481="","",'Sample Metadata'!D481)</f>
        <v/>
      </c>
    </row>
    <row r="489" spans="1:1" x14ac:dyDescent="0.2">
      <c r="A489" t="str">
        <f>IF('Sample Metadata'!D482="","",'Sample Metadata'!D482)</f>
        <v/>
      </c>
    </row>
    <row r="490" spans="1:1" x14ac:dyDescent="0.2">
      <c r="A490" t="str">
        <f>IF('Sample Metadata'!D483="","",'Sample Metadata'!D483)</f>
        <v/>
      </c>
    </row>
    <row r="491" spans="1:1" x14ac:dyDescent="0.2">
      <c r="A491" t="str">
        <f>IF('Sample Metadata'!D484="","",'Sample Metadata'!D484)</f>
        <v/>
      </c>
    </row>
    <row r="492" spans="1:1" x14ac:dyDescent="0.2">
      <c r="A492" t="str">
        <f>IF('Sample Metadata'!D485="","",'Sample Metadata'!D485)</f>
        <v/>
      </c>
    </row>
    <row r="493" spans="1:1" x14ac:dyDescent="0.2">
      <c r="A493" t="str">
        <f>IF('Sample Metadata'!D486="","",'Sample Metadata'!D486)</f>
        <v/>
      </c>
    </row>
    <row r="494" spans="1:1" x14ac:dyDescent="0.2">
      <c r="A494" t="str">
        <f>IF('Sample Metadata'!D487="","",'Sample Metadata'!D487)</f>
        <v/>
      </c>
    </row>
    <row r="495" spans="1:1" x14ac:dyDescent="0.2">
      <c r="A495" t="str">
        <f>IF('Sample Metadata'!D488="","",'Sample Metadata'!D488)</f>
        <v/>
      </c>
    </row>
    <row r="496" spans="1:1" x14ac:dyDescent="0.2">
      <c r="A496" t="str">
        <f>IF('Sample Metadata'!D489="","",'Sample Metadata'!D489)</f>
        <v/>
      </c>
    </row>
    <row r="497" spans="1:1" x14ac:dyDescent="0.2">
      <c r="A497" t="str">
        <f>IF('Sample Metadata'!D490="","",'Sample Metadata'!D490)</f>
        <v/>
      </c>
    </row>
    <row r="498" spans="1:1" x14ac:dyDescent="0.2">
      <c r="A498" t="str">
        <f>IF('Sample Metadata'!D491="","",'Sample Metadata'!D491)</f>
        <v/>
      </c>
    </row>
    <row r="499" spans="1:1" x14ac:dyDescent="0.2">
      <c r="A499" t="str">
        <f>IF('Sample Metadata'!D492="","",'Sample Metadata'!D492)</f>
        <v/>
      </c>
    </row>
    <row r="500" spans="1:1" x14ac:dyDescent="0.2">
      <c r="A500" t="str">
        <f>IF('Sample Metadata'!D493="","",'Sample Metadata'!D493)</f>
        <v/>
      </c>
    </row>
    <row r="501" spans="1:1" x14ac:dyDescent="0.2">
      <c r="A501" t="str">
        <f>IF('Sample Metadata'!D494="","",'Sample Metadata'!D494)</f>
        <v/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 Curve</vt:lpstr>
      <vt:lpstr>Outlier Check</vt:lpstr>
      <vt:lpstr>NTC</vt:lpstr>
      <vt:lpstr>Negative Controls</vt:lpstr>
      <vt:lpstr>Sample Metadata</vt:lpstr>
      <vt:lpstr>qPCR Run Entry</vt:lpstr>
      <vt:lpstr>IAC</vt:lpstr>
      <vt:lpstr>Sample Calculation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Den Uyl, Paul</cp:lastModifiedBy>
  <dcterms:created xsi:type="dcterms:W3CDTF">2022-03-07T16:42:11Z</dcterms:created>
  <dcterms:modified xsi:type="dcterms:W3CDTF">2026-06-12T15:14:43Z</dcterms:modified>
</cp:coreProperties>
</file>